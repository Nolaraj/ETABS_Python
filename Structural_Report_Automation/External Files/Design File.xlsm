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AE6600E7-7A62-396C-DE95-9942FA9DD81E}"/>
  <workbookPr date1904="1" codeName="ThisWorkbook" defaultThemeVersion="124226"/>
  <mc:AlternateContent xmlns:mc="http://schemas.openxmlformats.org/markup-compatibility/2006">
    <mc:Choice Requires="x15">
      <x15ac:absPath xmlns:x15ac="http://schemas.microsoft.com/office/spreadsheetml/2010/11/ac" url="D:\Python Programming\Report Automation Project\Standard Files Revised 1\External Files\"/>
    </mc:Choice>
  </mc:AlternateContent>
  <xr:revisionPtr revIDLastSave="0" documentId="13_ncr:1_{25B4FA94-EFA1-439B-8C51-9C9C9505E709}" xr6:coauthVersionLast="40" xr6:coauthVersionMax="47" xr10:uidLastSave="{00000000-0000-0000-0000-000000000000}"/>
  <bookViews>
    <workbookView xWindow="-120" yWindow="-120" windowWidth="20730" windowHeight="11040" tabRatio="882" firstSheet="3" activeTab="10" xr2:uid="{00000000-000D-0000-FFFF-FFFF00000000}"/>
  </bookViews>
  <sheets>
    <sheet name="~#temp" sheetId="5" state="hidden" r:id="rId1"/>
    <sheet name="Designer Sheet" sheetId="51" r:id="rId2"/>
    <sheet name="Seismic NBC" sheetId="61" r:id="rId3"/>
    <sheet name="Column Design" sheetId="59" r:id="rId4"/>
    <sheet name="Beam Design" sheetId="60" r:id="rId5"/>
    <sheet name="Slab Design" sheetId="52" r:id="rId6"/>
    <sheet name="Staircase Design" sheetId="10" r:id="rId7"/>
    <sheet name="Seismic IS" sheetId="13" r:id="rId8"/>
    <sheet name="Isolatedfooting Design" sheetId="16" r:id="rId9"/>
    <sheet name="Eccentric Footing" sheetId="57" r:id="rId10"/>
    <sheet name="Design Summary" sheetId="58" r:id="rId11"/>
  </sheets>
  <definedNames>
    <definedName name="_xlnm.Print_Area" localSheetId="4">'Beam Design'!$A$1:$H$68</definedName>
    <definedName name="_xlnm.Print_Area" localSheetId="3">'Column Design'!$B$2:$P$39</definedName>
    <definedName name="_xlnm.Print_Area" localSheetId="10">'Design Summary'!$A$1:$I$45</definedName>
    <definedName name="_xlnm.Print_Area" localSheetId="9">'Eccentric Footing'!$B$1:$K$65</definedName>
    <definedName name="_xlnm.Print_Area" localSheetId="8">'Isolatedfooting Design'!$B$2:$H$130</definedName>
    <definedName name="_xlnm.Print_Area" localSheetId="7">'Seismic IS'!$A$1:$G$31</definedName>
    <definedName name="_xlnm.Print_Area" localSheetId="2">'Seismic NBC'!$B$1:$D$50</definedName>
    <definedName name="_xlnm.Print_Area" localSheetId="5">'Slab Design'!$B$1:$K$48</definedName>
    <definedName name="_xlnm.Print_Area" localSheetId="6">'Staircase Design'!$B$2:$H$53</definedName>
    <definedName name="_xlnm.Print_Titles" localSheetId="3">'Column Design'!#REF!</definedName>
    <definedName name="Z_F4A77AC2_BDEF_4892_9A52_8132BA2AE24F_.wvu.Cols" localSheetId="7" hidden="1">'Seismic IS'!$H:$J</definedName>
    <definedName name="Z_F4A77AC2_BDEF_4892_9A52_8132BA2AE24F_.wvu.Cols" localSheetId="6" hidden="1">'Staircase Design'!$I:$J</definedName>
    <definedName name="Z_F4A77AC2_BDEF_4892_9A52_8132BA2AE24F_.wvu.PrintArea" localSheetId="8" hidden="1">'Isolatedfooting Design'!$B$2:$H$130</definedName>
    <definedName name="Z_F4A77AC2_BDEF_4892_9A52_8132BA2AE24F_.wvu.PrintArea" localSheetId="6" hidden="1">'Staircase Design'!$B$3:$H$53</definedName>
  </definedNames>
  <calcPr calcId="191029"/>
  <customWorkbookViews>
    <customWorkbookView name="New" guid="{F4A77AC2-BDEF-4892-9A52-8132BA2AE24F}" maximized="1" xWindow="-8" yWindow="-8" windowWidth="1382" windowHeight="736" tabRatio="882" activeSheetId="16"/>
  </customWorkbookViews>
  <webPublishing css="0" codePage="1252"/>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ARRAYTEXT_WF"/>
        <xcalcf:feature name="microsoft.com:LAMBDA_WF"/>
        <xcalcf:feature name="microsoft.com:LET_WF"/>
      </xcalcf:calcFeatures>
    </ext>
  </extLst>
</workbook>
</file>

<file path=xl/calcChain.xml><?xml version="1.0" encoding="utf-8"?>
<calcChain xmlns="http://schemas.openxmlformats.org/spreadsheetml/2006/main">
  <c r="Q8" i="51" l="1"/>
  <c r="D33" i="51"/>
  <c r="B65" i="57"/>
  <c r="I64" i="57"/>
  <c r="F61" i="57"/>
  <c r="D49" i="61"/>
  <c r="C48" i="61"/>
  <c r="C30" i="61"/>
  <c r="C28" i="61"/>
  <c r="C27" i="61"/>
  <c r="C46" i="61" s="1"/>
  <c r="D47" i="61" s="1"/>
  <c r="C14" i="61"/>
  <c r="C13" i="61"/>
  <c r="C12" i="61"/>
  <c r="C11" i="61"/>
  <c r="C5" i="61"/>
  <c r="C42" i="61" s="1"/>
  <c r="D43" i="61" s="1"/>
  <c r="C39" i="61" l="1"/>
  <c r="D40" i="61" s="1"/>
  <c r="C10" i="61"/>
  <c r="C18" i="61" l="1"/>
  <c r="C20" i="61" s="1"/>
  <c r="B18" i="61"/>
  <c r="C35" i="61"/>
  <c r="C32" i="61" l="1"/>
  <c r="C22" i="61"/>
  <c r="C34" i="61" s="1"/>
  <c r="C42" i="58" l="1"/>
  <c r="H40" i="58"/>
  <c r="G40" i="58"/>
  <c r="E40" i="58"/>
  <c r="D40" i="58"/>
  <c r="C40" i="58"/>
  <c r="H39" i="58"/>
  <c r="G39" i="58"/>
  <c r="E39" i="58"/>
  <c r="D39" i="58"/>
  <c r="C39" i="58"/>
  <c r="G34" i="58"/>
  <c r="G32" i="58"/>
  <c r="F34" i="58"/>
  <c r="F32" i="58"/>
  <c r="G31" i="58"/>
  <c r="F31" i="58"/>
  <c r="E34" i="58"/>
  <c r="E33" i="58"/>
  <c r="E32" i="58"/>
  <c r="D26" i="58"/>
  <c r="D25" i="58"/>
  <c r="F26" i="58"/>
  <c r="F25" i="58"/>
  <c r="E26" i="58"/>
  <c r="E25" i="58"/>
  <c r="E20" i="58"/>
  <c r="E19" i="58"/>
  <c r="D20" i="58"/>
  <c r="D19" i="58"/>
  <c r="N44" i="52"/>
  <c r="N43" i="52"/>
  <c r="O42" i="52"/>
  <c r="N42" i="52"/>
  <c r="D7" i="60"/>
  <c r="C26" i="60" s="1"/>
  <c r="D6" i="60"/>
  <c r="E11" i="59"/>
  <c r="E10" i="59"/>
  <c r="C67" i="60"/>
  <c r="C66" i="60"/>
  <c r="M59" i="60"/>
  <c r="C57" i="60"/>
  <c r="F55" i="60"/>
  <c r="C51" i="60"/>
  <c r="C50" i="60"/>
  <c r="T49" i="60"/>
  <c r="C49" i="60"/>
  <c r="C48" i="60"/>
  <c r="N35" i="60"/>
  <c r="P32" i="60"/>
  <c r="P20" i="60"/>
  <c r="L20" i="60"/>
  <c r="P19" i="60"/>
  <c r="L19" i="60"/>
  <c r="M16" i="60"/>
  <c r="G7" i="60"/>
  <c r="D36" i="59"/>
  <c r="O35" i="59"/>
  <c r="N35" i="59"/>
  <c r="L35" i="59"/>
  <c r="K35" i="59"/>
  <c r="I35" i="59"/>
  <c r="H35" i="59"/>
  <c r="E35" i="59"/>
  <c r="O34" i="59"/>
  <c r="N34" i="59"/>
  <c r="M34" i="59"/>
  <c r="L34" i="59"/>
  <c r="K34" i="59"/>
  <c r="I34" i="59"/>
  <c r="H34" i="59"/>
  <c r="G34" i="59"/>
  <c r="E34" i="59"/>
  <c r="O33" i="59"/>
  <c r="N33" i="59"/>
  <c r="L33" i="59"/>
  <c r="K33" i="59"/>
  <c r="I33" i="59"/>
  <c r="H33" i="59"/>
  <c r="E33" i="59"/>
  <c r="D28" i="59"/>
  <c r="D27" i="59"/>
  <c r="H20" i="59"/>
  <c r="K20" i="59" s="1"/>
  <c r="D20" i="59"/>
  <c r="D56" i="59" s="1"/>
  <c r="H19" i="59"/>
  <c r="K19" i="59" s="1"/>
  <c r="D19" i="59"/>
  <c r="D18" i="59"/>
  <c r="Q7" i="51"/>
  <c r="Q6" i="51"/>
  <c r="Q5" i="51"/>
  <c r="Q4" i="51"/>
  <c r="Q3" i="51"/>
  <c r="E30" i="57"/>
  <c r="E13" i="57"/>
  <c r="E14" i="57" s="1"/>
  <c r="E17" i="57" s="1"/>
  <c r="H20" i="57"/>
  <c r="I45" i="57"/>
  <c r="B58" i="57"/>
  <c r="E15" i="16"/>
  <c r="E14" i="16"/>
  <c r="D6" i="10"/>
  <c r="D23" i="52"/>
  <c r="D22" i="52"/>
  <c r="E5" i="52"/>
  <c r="E36" i="59" l="1"/>
  <c r="C38" i="59" s="1"/>
  <c r="D57" i="59"/>
  <c r="C61" i="59" s="1"/>
  <c r="D61" i="59" s="1"/>
  <c r="D58" i="59"/>
  <c r="G8" i="60"/>
  <c r="C55" i="60"/>
  <c r="C59" i="60"/>
  <c r="D55" i="60"/>
  <c r="C56" i="60"/>
  <c r="C58" i="60"/>
  <c r="E55" i="60"/>
  <c r="E22" i="57"/>
  <c r="E24" i="57" s="1"/>
  <c r="E29" i="57" s="1"/>
  <c r="E20" i="57"/>
  <c r="E15" i="57"/>
  <c r="E18" i="57" s="1"/>
  <c r="E19" i="57" s="1"/>
  <c r="F40" i="57" l="1"/>
  <c r="F41" i="57" s="1"/>
  <c r="F43" i="57" s="1"/>
  <c r="E23" i="57"/>
  <c r="E25" i="57" s="1"/>
  <c r="C23" i="59"/>
  <c r="G15" i="60"/>
  <c r="G16" i="60" s="1"/>
  <c r="N40" i="60"/>
  <c r="G14" i="60"/>
  <c r="N39" i="60"/>
  <c r="M60" i="60"/>
  <c r="L21" i="60"/>
  <c r="L22" i="60" s="1"/>
  <c r="L23" i="60" s="1"/>
  <c r="M30" i="60"/>
  <c r="M31" i="60" s="1"/>
  <c r="P30" i="60" s="1"/>
  <c r="P31" i="60" s="1"/>
  <c r="F44" i="57"/>
  <c r="I44" i="57" s="1"/>
  <c r="F46" i="57" s="1"/>
  <c r="I46" i="57" s="1"/>
  <c r="C43" i="58" s="1"/>
  <c r="F42" i="57"/>
  <c r="F47" i="57" l="1"/>
  <c r="F49" i="57" s="1"/>
  <c r="F31" i="60"/>
  <c r="G23" i="60"/>
  <c r="C19" i="60"/>
  <c r="D48" i="60"/>
  <c r="F32" i="60"/>
  <c r="D50" i="60"/>
  <c r="F30" i="60"/>
  <c r="F57" i="60"/>
  <c r="F58" i="60"/>
  <c r="F56" i="60"/>
  <c r="F59" i="60" s="1"/>
  <c r="P21" i="60"/>
  <c r="P22" i="60" s="1"/>
  <c r="P23" i="60" s="1"/>
  <c r="G17" i="60"/>
  <c r="P26" i="60"/>
  <c r="C61" i="60" l="1"/>
  <c r="C62" i="60" s="1"/>
  <c r="F33" i="60"/>
  <c r="G33" i="60" s="1"/>
  <c r="N49" i="60"/>
  <c r="N51" i="60" s="1"/>
  <c r="D49" i="60" s="1"/>
  <c r="G59" i="60"/>
  <c r="P33" i="60"/>
  <c r="N37" i="60" s="1"/>
  <c r="N43" i="60" s="1"/>
  <c r="E24" i="60" s="1"/>
  <c r="F41" i="60" s="1"/>
  <c r="P27" i="60"/>
  <c r="P28" i="60" s="1"/>
  <c r="N36" i="60" s="1"/>
  <c r="N42" i="60" s="1"/>
  <c r="D24" i="60" s="1"/>
  <c r="D23" i="60" s="1"/>
  <c r="F40" i="60" l="1"/>
  <c r="C20" i="60"/>
  <c r="E23" i="60"/>
  <c r="F39" i="60"/>
  <c r="F42" i="60" s="1"/>
  <c r="N50" i="60" s="1"/>
  <c r="C34" i="60"/>
  <c r="O54" i="60"/>
  <c r="O55" i="60" s="1"/>
  <c r="M58" i="60" s="1"/>
  <c r="D67" i="60" s="1"/>
  <c r="C64" i="60"/>
  <c r="D66" i="51"/>
  <c r="O37" i="52"/>
  <c r="O36" i="52"/>
  <c r="O30" i="52"/>
  <c r="O31" i="52" s="1"/>
  <c r="T25" i="52"/>
  <c r="I22" i="52"/>
  <c r="O25" i="52" s="1"/>
  <c r="R25" i="52" s="1"/>
  <c r="P20" i="52"/>
  <c r="O20" i="52"/>
  <c r="T13" i="52"/>
  <c r="O13" i="52"/>
  <c r="T12" i="52"/>
  <c r="O12" i="52"/>
  <c r="J12" i="52"/>
  <c r="J11" i="52"/>
  <c r="E11" i="52"/>
  <c r="E14" i="52" s="1"/>
  <c r="E15" i="52" s="1"/>
  <c r="D21" i="52" s="1"/>
  <c r="E35" i="16"/>
  <c r="E36" i="16"/>
  <c r="E9" i="16"/>
  <c r="C5" i="13"/>
  <c r="C15" i="13"/>
  <c r="I20" i="13" s="1"/>
  <c r="I24" i="13" s="1"/>
  <c r="H19" i="13"/>
  <c r="H23" i="13" s="1"/>
  <c r="I19" i="13"/>
  <c r="I23" i="13" s="1"/>
  <c r="J19" i="13"/>
  <c r="J23" i="13" s="1"/>
  <c r="H20" i="13"/>
  <c r="H24" i="13"/>
  <c r="J20" i="13"/>
  <c r="J24" i="13" s="1"/>
  <c r="H21" i="13"/>
  <c r="I21" i="13"/>
  <c r="I25" i="13" s="1"/>
  <c r="J21" i="13"/>
  <c r="J25" i="13" s="1"/>
  <c r="H25" i="13"/>
  <c r="E19" i="16"/>
  <c r="F21" i="16"/>
  <c r="E23" i="16"/>
  <c r="E25" i="16"/>
  <c r="E26" i="16"/>
  <c r="J36" i="16"/>
  <c r="O36" i="16"/>
  <c r="J40" i="16"/>
  <c r="L40" i="16"/>
  <c r="M40" i="16"/>
  <c r="O40" i="16"/>
  <c r="R40" i="16"/>
  <c r="K43" i="16"/>
  <c r="P43" i="16"/>
  <c r="K44" i="16"/>
  <c r="P44" i="16"/>
  <c r="E48" i="16"/>
  <c r="E49" i="16" s="1"/>
  <c r="K50" i="16"/>
  <c r="P50" i="16"/>
  <c r="F58" i="16"/>
  <c r="F59" i="16"/>
  <c r="K63" i="16"/>
  <c r="K64" i="16" s="1"/>
  <c r="P63" i="16"/>
  <c r="P64" i="16" s="1"/>
  <c r="E88" i="16" s="1"/>
  <c r="E95" i="16"/>
  <c r="E104" i="16"/>
  <c r="C105" i="16"/>
  <c r="D105" i="16"/>
  <c r="G122" i="16"/>
  <c r="C126" i="16" s="1"/>
  <c r="D129" i="16"/>
  <c r="E129" i="16"/>
  <c r="G129" i="16"/>
  <c r="H129" i="16"/>
  <c r="D11" i="10"/>
  <c r="D18" i="10"/>
  <c r="G18" i="10"/>
  <c r="D19" i="10"/>
  <c r="D22" i="10" s="1"/>
  <c r="D23" i="10" s="1"/>
  <c r="G21" i="10"/>
  <c r="G22" i="10" s="1"/>
  <c r="J32" i="10"/>
  <c r="C33" i="10"/>
  <c r="D46" i="10"/>
  <c r="D50" i="10" s="1"/>
  <c r="Q40" i="16"/>
  <c r="G42" i="60" l="1"/>
  <c r="C43" i="60" s="1"/>
  <c r="E89" i="16"/>
  <c r="E28" i="16"/>
  <c r="D30" i="16" s="1"/>
  <c r="E50" i="10"/>
  <c r="H27" i="13"/>
  <c r="H29" i="13" s="1"/>
  <c r="I27" i="13"/>
  <c r="I29" i="13" s="1"/>
  <c r="H31" i="13" s="1"/>
  <c r="C19" i="13" s="1"/>
  <c r="C21" i="13" s="1"/>
  <c r="C25" i="13" s="1"/>
  <c r="K36" i="16"/>
  <c r="C32" i="10"/>
  <c r="C29" i="10"/>
  <c r="D36" i="10" s="1"/>
  <c r="P55" i="16"/>
  <c r="P40" i="16"/>
  <c r="K54" i="16"/>
  <c r="K55" i="16"/>
  <c r="P54" i="16"/>
  <c r="K40" i="16"/>
  <c r="P36" i="16"/>
  <c r="J27" i="13"/>
  <c r="J29" i="13" s="1"/>
  <c r="J15" i="52"/>
  <c r="J16" i="52" s="1"/>
  <c r="D32" i="52"/>
  <c r="T14" i="52" s="1"/>
  <c r="T15" i="52" s="1"/>
  <c r="O32" i="52"/>
  <c r="P25" i="52"/>
  <c r="I23" i="52"/>
  <c r="D27" i="52"/>
  <c r="N25" i="52"/>
  <c r="Q25" i="52" s="1"/>
  <c r="D28" i="52"/>
  <c r="C32" i="52"/>
  <c r="E37" i="52"/>
  <c r="O38" i="52"/>
  <c r="D35" i="52" s="1"/>
  <c r="E85" i="16" l="1"/>
  <c r="E86" i="16" s="1"/>
  <c r="D91" i="16" s="1"/>
  <c r="E38" i="16"/>
  <c r="K45" i="16" s="1"/>
  <c r="K46" i="16" s="1"/>
  <c r="K47" i="16" s="1"/>
  <c r="K51" i="16" s="1"/>
  <c r="K57" i="16" s="1"/>
  <c r="C53" i="16" s="1"/>
  <c r="E65" i="16"/>
  <c r="E66" i="16" s="1"/>
  <c r="E75" i="16"/>
  <c r="E76" i="16" s="1"/>
  <c r="E39" i="16"/>
  <c r="P45" i="16" s="1"/>
  <c r="P46" i="16" s="1"/>
  <c r="P47" i="16" s="1"/>
  <c r="P51" i="16" s="1"/>
  <c r="P57" i="16" s="1"/>
  <c r="C54" i="16" s="1"/>
  <c r="D40" i="10"/>
  <c r="E40" i="10"/>
  <c r="O34" i="52"/>
  <c r="S25" i="52"/>
  <c r="D31" i="52" s="1"/>
  <c r="O14" i="52" s="1"/>
  <c r="O15" i="52" s="1"/>
  <c r="O16" i="52" s="1"/>
  <c r="T16" i="52"/>
  <c r="E38" i="52" s="1"/>
  <c r="E44" i="16" l="1"/>
  <c r="D53" i="16"/>
  <c r="K59" i="16"/>
  <c r="K60" i="16" s="1"/>
  <c r="E68" i="16" s="1"/>
  <c r="F53" i="16"/>
  <c r="H58" i="16"/>
  <c r="C55" i="16"/>
  <c r="E53" i="16"/>
  <c r="P59" i="16"/>
  <c r="P60" i="16" s="1"/>
  <c r="E78" i="16" s="1"/>
  <c r="D54" i="16"/>
  <c r="F54" i="16"/>
  <c r="H59" i="16"/>
  <c r="E54" i="16"/>
  <c r="C56" i="16"/>
  <c r="O33" i="52"/>
  <c r="D34" i="52"/>
  <c r="D38" i="52"/>
  <c r="E43" i="52" s="1"/>
  <c r="F43" i="52"/>
  <c r="J43" i="52"/>
  <c r="D43" i="52"/>
  <c r="H43" i="52"/>
  <c r="E79" i="16" l="1"/>
  <c r="D81" i="16"/>
  <c r="E69" i="16"/>
  <c r="D71" i="16"/>
  <c r="G43" i="52"/>
  <c r="I43" i="52"/>
  <c r="C43" i="52"/>
  <c r="E34" i="57" l="1"/>
  <c r="E36" i="57" s="1"/>
  <c r="E33" i="5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FAHIM</author>
  </authors>
  <commentList>
    <comment ref="O36" authorId="0" shapeId="0" xr:uid="{00000000-0006-0000-0600-000001000000}">
      <text>
        <r>
          <rPr>
            <b/>
            <sz val="8"/>
            <color indexed="81"/>
            <rFont val="Tahoma"/>
            <family val="2"/>
          </rPr>
          <t>refer Table D SP16 pg10</t>
        </r>
      </text>
    </comment>
    <comment ref="K47" authorId="0" shapeId="0" xr:uid="{00000000-0006-0000-0600-000002000000}">
      <text>
        <r>
          <rPr>
            <b/>
            <sz val="8"/>
            <color indexed="81"/>
            <rFont val="Tahoma"/>
            <family val="2"/>
          </rPr>
          <t>Ast=(p*b*d)/100</t>
        </r>
        <r>
          <rPr>
            <sz val="8"/>
            <color indexed="81"/>
            <rFont val="Tahoma"/>
            <family val="2"/>
          </rPr>
          <t xml:space="preserve">
</t>
        </r>
      </text>
    </comment>
    <comment ref="P47" authorId="0" shapeId="0" xr:uid="{00000000-0006-0000-0600-000003000000}">
      <text>
        <r>
          <rPr>
            <b/>
            <sz val="8"/>
            <color indexed="81"/>
            <rFont val="Tahoma"/>
            <family val="2"/>
          </rPr>
          <t>Ast=(p*b*d)/100</t>
        </r>
        <r>
          <rPr>
            <sz val="8"/>
            <color indexed="81"/>
            <rFont val="Tahoma"/>
            <family val="2"/>
          </rPr>
          <t xml:space="preserve">
</t>
        </r>
      </text>
    </comment>
    <comment ref="E48" authorId="0" shapeId="0" xr:uid="{00000000-0006-0000-0600-000004000000}">
      <text>
        <r>
          <rPr>
            <b/>
            <sz val="8"/>
            <color indexed="81"/>
            <rFont val="Tahoma"/>
            <family val="2"/>
          </rPr>
          <t xml:space="preserve">d'= clear cover                    + stirrup dia + </t>
        </r>
        <r>
          <rPr>
            <b/>
            <sz val="12"/>
            <color indexed="81"/>
            <rFont val="Arial"/>
            <family val="2"/>
          </rPr>
          <t>ø</t>
        </r>
        <r>
          <rPr>
            <b/>
            <sz val="10"/>
            <color indexed="81"/>
            <rFont val="Arial"/>
            <family val="2"/>
          </rPr>
          <t>/</t>
        </r>
        <r>
          <rPr>
            <b/>
            <sz val="8"/>
            <color indexed="81"/>
            <rFont val="Arial"/>
            <family val="2"/>
          </rPr>
          <t>2</t>
        </r>
      </text>
    </comment>
    <comment ref="K54" authorId="0" shapeId="0" xr:uid="{00000000-0006-0000-0600-000005000000}">
      <text>
        <r>
          <rPr>
            <b/>
            <sz val="8"/>
            <color indexed="81"/>
            <rFont val="Tahoma"/>
            <family val="2"/>
          </rPr>
          <t>Astmin=(0.85bd)/fy</t>
        </r>
        <r>
          <rPr>
            <sz val="8"/>
            <color indexed="81"/>
            <rFont val="Tahoma"/>
            <family val="2"/>
          </rPr>
          <t xml:space="preserve">
</t>
        </r>
      </text>
    </comment>
    <comment ref="P54" authorId="0" shapeId="0" xr:uid="{00000000-0006-0000-0600-000006000000}">
      <text>
        <r>
          <rPr>
            <b/>
            <sz val="8"/>
            <color indexed="81"/>
            <rFont val="Tahoma"/>
            <family val="2"/>
          </rPr>
          <t>Astmin=(0.85bd)/fy</t>
        </r>
        <r>
          <rPr>
            <sz val="8"/>
            <color indexed="81"/>
            <rFont val="Tahoma"/>
            <family val="2"/>
          </rPr>
          <t xml:space="preserve">
</t>
        </r>
      </text>
    </comment>
    <comment ref="K55" authorId="0" shapeId="0" xr:uid="{00000000-0006-0000-0600-000007000000}">
      <text>
        <r>
          <rPr>
            <b/>
            <sz val="8"/>
            <color indexed="81"/>
            <rFont val="Tahoma"/>
            <family val="2"/>
          </rPr>
          <t>Astmax=0.04bd</t>
        </r>
        <r>
          <rPr>
            <sz val="8"/>
            <color indexed="81"/>
            <rFont val="Tahoma"/>
            <family val="2"/>
          </rPr>
          <t xml:space="preserve">
</t>
        </r>
      </text>
    </comment>
    <comment ref="P55" authorId="0" shapeId="0" xr:uid="{00000000-0006-0000-0600-000008000000}">
      <text>
        <r>
          <rPr>
            <b/>
            <sz val="8"/>
            <color indexed="81"/>
            <rFont val="Tahoma"/>
            <family val="2"/>
          </rPr>
          <t>Astmax=0.04bd</t>
        </r>
        <r>
          <rPr>
            <sz val="8"/>
            <color indexed="81"/>
            <rFont val="Tahoma"/>
            <family val="2"/>
          </rPr>
          <t xml:space="preserve">
</t>
        </r>
      </text>
    </comment>
    <comment ref="E66" authorId="0" shapeId="0" xr:uid="{00000000-0006-0000-0600-000009000000}">
      <text>
        <r>
          <rPr>
            <b/>
            <sz val="8"/>
            <color indexed="81"/>
            <rFont val="Arial"/>
            <family val="2"/>
          </rPr>
          <t>ζ</t>
        </r>
        <r>
          <rPr>
            <b/>
            <sz val="8"/>
            <color indexed="81"/>
            <rFont val="Tahoma"/>
            <family val="2"/>
          </rPr>
          <t>v=Shear Force/(bd)</t>
        </r>
        <r>
          <rPr>
            <sz val="8"/>
            <color indexed="81"/>
            <rFont val="Tahoma"/>
            <family val="2"/>
          </rPr>
          <t xml:space="preserve">
</t>
        </r>
      </text>
    </comment>
    <comment ref="E68" authorId="0" shapeId="0" xr:uid="{00000000-0006-0000-0600-00000A000000}">
      <text>
        <r>
          <rPr>
            <b/>
            <sz val="8"/>
            <color indexed="81"/>
            <rFont val="Tahoma"/>
            <family val="2"/>
          </rPr>
          <t>refer Table 61 SP 16 pg 178</t>
        </r>
        <r>
          <rPr>
            <sz val="8"/>
            <color indexed="81"/>
            <rFont val="Tahoma"/>
            <family val="2"/>
          </rPr>
          <t xml:space="preserve">
</t>
        </r>
      </text>
    </comment>
    <comment ref="E76" authorId="0" shapeId="0" xr:uid="{00000000-0006-0000-0600-00000B000000}">
      <text>
        <r>
          <rPr>
            <b/>
            <sz val="8"/>
            <color indexed="81"/>
            <rFont val="Arial"/>
            <family val="2"/>
          </rPr>
          <t>ζ</t>
        </r>
        <r>
          <rPr>
            <b/>
            <sz val="8"/>
            <color indexed="81"/>
            <rFont val="Tahoma"/>
            <family val="2"/>
          </rPr>
          <t>v=Shear Force/(bd)</t>
        </r>
        <r>
          <rPr>
            <sz val="8"/>
            <color indexed="81"/>
            <rFont val="Tahoma"/>
            <family val="2"/>
          </rPr>
          <t xml:space="preserve">
</t>
        </r>
      </text>
    </comment>
    <comment ref="E78" authorId="0" shapeId="0" xr:uid="{00000000-0006-0000-0600-00000C000000}">
      <text>
        <r>
          <rPr>
            <b/>
            <sz val="8"/>
            <color indexed="81"/>
            <rFont val="Tahoma"/>
            <family val="2"/>
          </rPr>
          <t>refer Table 61 SP 16 pg 178</t>
        </r>
        <r>
          <rPr>
            <sz val="8"/>
            <color indexed="81"/>
            <rFont val="Tahoma"/>
            <family val="2"/>
          </rPr>
          <t xml:space="preserve">
</t>
        </r>
      </text>
    </comment>
  </commentList>
</comments>
</file>

<file path=xl/sharedStrings.xml><?xml version="1.0" encoding="utf-8"?>
<sst xmlns="http://schemas.openxmlformats.org/spreadsheetml/2006/main" count="981" uniqueCount="699">
  <si>
    <t>b</t>
  </si>
  <si>
    <t>Ast</t>
  </si>
  <si>
    <t>a</t>
  </si>
  <si>
    <t>c</t>
  </si>
  <si>
    <t>-p</t>
  </si>
  <si>
    <t>width</t>
  </si>
  <si>
    <t>Area of Steel</t>
  </si>
  <si>
    <t>Min Steel</t>
  </si>
  <si>
    <t>Max Steel</t>
  </si>
  <si>
    <t>SRB</t>
  </si>
  <si>
    <t>Type</t>
  </si>
  <si>
    <t>KN</t>
  </si>
  <si>
    <t>Spacing</t>
  </si>
  <si>
    <t>β</t>
  </si>
  <si>
    <t>Pt provided</t>
  </si>
  <si>
    <t>Min steel %</t>
  </si>
  <si>
    <t>xumax</t>
  </si>
  <si>
    <t>xumax/d</t>
  </si>
  <si>
    <t>Section Check</t>
  </si>
  <si>
    <t>Load</t>
  </si>
  <si>
    <t>Pu</t>
  </si>
  <si>
    <t>d</t>
  </si>
  <si>
    <t>d'</t>
  </si>
  <si>
    <t>fck</t>
  </si>
  <si>
    <t>Slab Data</t>
  </si>
  <si>
    <t>fy</t>
  </si>
  <si>
    <t>ly/lx</t>
  </si>
  <si>
    <t>Interpolation</t>
  </si>
  <si>
    <t>Table 26 IS 456 pg 91</t>
  </si>
  <si>
    <r>
      <t xml:space="preserve">Concrete </t>
    </r>
    <r>
      <rPr>
        <sz val="8"/>
        <rFont val="Arial"/>
        <family val="2"/>
      </rPr>
      <t/>
    </r>
  </si>
  <si>
    <r>
      <t xml:space="preserve">Steel </t>
    </r>
    <r>
      <rPr>
        <sz val="8"/>
        <rFont val="Arial"/>
        <family val="2"/>
      </rPr>
      <t/>
    </r>
  </si>
  <si>
    <t>Moments</t>
  </si>
  <si>
    <t>Mx</t>
  </si>
  <si>
    <t>-px</t>
  </si>
  <si>
    <t>-py</t>
  </si>
  <si>
    <t>cx</t>
  </si>
  <si>
    <t>cy</t>
  </si>
  <si>
    <t>ONE WAY</t>
  </si>
  <si>
    <t>TWO WAY</t>
  </si>
  <si>
    <t>Astx</t>
  </si>
  <si>
    <t>Diameter of bar</t>
  </si>
  <si>
    <t>Spacing across x</t>
  </si>
  <si>
    <t>Spacing across y</t>
  </si>
  <si>
    <t>Min Ast</t>
  </si>
  <si>
    <r>
      <t>8</t>
    </r>
    <r>
      <rPr>
        <sz val="12"/>
        <rFont val="Arial"/>
        <family val="2"/>
      </rPr>
      <t>ø</t>
    </r>
  </si>
  <si>
    <r>
      <t>16</t>
    </r>
    <r>
      <rPr>
        <sz val="12"/>
        <rFont val="Arial"/>
        <family val="2"/>
      </rPr>
      <t>ø</t>
    </r>
  </si>
  <si>
    <r>
      <t>12</t>
    </r>
    <r>
      <rPr>
        <sz val="12"/>
        <rFont val="Arial"/>
        <family val="2"/>
      </rPr>
      <t>ø</t>
    </r>
  </si>
  <si>
    <r>
      <t>10</t>
    </r>
    <r>
      <rPr>
        <sz val="12"/>
        <rFont val="Arial"/>
        <family val="2"/>
      </rPr>
      <t>ø</t>
    </r>
  </si>
  <si>
    <t xml:space="preserve">Mulim </t>
  </si>
  <si>
    <t>Slab Design</t>
  </si>
  <si>
    <t>Concrete</t>
  </si>
  <si>
    <t>Effective Span (l)</t>
  </si>
  <si>
    <t>Riser (R)</t>
  </si>
  <si>
    <t>Thread (T)</t>
  </si>
  <si>
    <t>Waist Slab thickness (t)</t>
  </si>
  <si>
    <t>Effective Depth of Waist Slab (d)</t>
  </si>
  <si>
    <t>Clear Cover</t>
  </si>
  <si>
    <t>Data</t>
  </si>
  <si>
    <t>Loading</t>
  </si>
  <si>
    <t>Loads on going</t>
  </si>
  <si>
    <t>Self weight of waist slab</t>
  </si>
  <si>
    <t>Self weight of steps</t>
  </si>
  <si>
    <t>Live Load</t>
  </si>
  <si>
    <t>Floor Finish Load</t>
  </si>
  <si>
    <t>Self weight of landing slab</t>
  </si>
  <si>
    <t>Total Load</t>
  </si>
  <si>
    <t>Factored Load</t>
  </si>
  <si>
    <t>Loads on waist slab</t>
  </si>
  <si>
    <t>Area of Main Steel</t>
  </si>
  <si>
    <t>Area of Distribution Steel</t>
  </si>
  <si>
    <t>Grade of Concrete (fck)</t>
  </si>
  <si>
    <t>Grade of Steel (fy)</t>
  </si>
  <si>
    <t>Staircase Design</t>
  </si>
  <si>
    <t>Bending Moment</t>
  </si>
  <si>
    <t>Floor Finish</t>
  </si>
  <si>
    <t>x</t>
  </si>
  <si>
    <t>y</t>
  </si>
  <si>
    <t>My</t>
  </si>
  <si>
    <t>Nup</t>
  </si>
  <si>
    <t>Design Load</t>
  </si>
  <si>
    <t>Seismic Intensity</t>
  </si>
  <si>
    <t>Seismic Zone</t>
  </si>
  <si>
    <t>z</t>
  </si>
  <si>
    <t>Importance factor</t>
  </si>
  <si>
    <t>I</t>
  </si>
  <si>
    <t>Table 2 IS 1893 2002 pg 16</t>
  </si>
  <si>
    <t>Table 7 IS 1893 2002 pg 23</t>
  </si>
  <si>
    <t>Table 6 IS 1893 2002 pg 18</t>
  </si>
  <si>
    <t>Response Reduction Factor</t>
  </si>
  <si>
    <t>R</t>
  </si>
  <si>
    <t>Fundamental Natural Period</t>
  </si>
  <si>
    <t>Lateral Dimension of Building</t>
  </si>
  <si>
    <t>Height of the of Building</t>
  </si>
  <si>
    <t>h</t>
  </si>
  <si>
    <t>Spectral Acceleration Coefficient</t>
  </si>
  <si>
    <t>Type of Soil</t>
  </si>
  <si>
    <t>Medium Soil</t>
  </si>
  <si>
    <t>Design Horizontal Seismic Coefficient</t>
  </si>
  <si>
    <t>Design Seismic Base Shear</t>
  </si>
  <si>
    <t>Seismic Weight of Building</t>
  </si>
  <si>
    <t>W</t>
  </si>
  <si>
    <t>meters</t>
  </si>
  <si>
    <t>Provded Main Steel:</t>
  </si>
  <si>
    <t>Provided Distridution Steel:</t>
  </si>
  <si>
    <t>with brick infill</t>
  </si>
  <si>
    <t>Mux</t>
  </si>
  <si>
    <t>Muy</t>
  </si>
  <si>
    <t>ly</t>
  </si>
  <si>
    <t>lx</t>
  </si>
  <si>
    <t>Slab thickness</t>
  </si>
  <si>
    <t>t</t>
  </si>
  <si>
    <t>Slab type</t>
  </si>
  <si>
    <t>Thickness Check</t>
  </si>
  <si>
    <t>%</t>
  </si>
  <si>
    <t>lower value</t>
  </si>
  <si>
    <t>upper value</t>
  </si>
  <si>
    <t>exact value</t>
  </si>
  <si>
    <t>Loading on edges</t>
  </si>
  <si>
    <t>20#</t>
  </si>
  <si>
    <t>Moment in x dir</t>
  </si>
  <si>
    <t>Moment in y dir</t>
  </si>
  <si>
    <t>Column size</t>
  </si>
  <si>
    <t>SBC</t>
  </si>
  <si>
    <t>L</t>
  </si>
  <si>
    <t>B</t>
  </si>
  <si>
    <t>Net upward pressure</t>
  </si>
  <si>
    <t>Zx</t>
  </si>
  <si>
    <t>Bending Moment in x dir</t>
  </si>
  <si>
    <t>Bending Moment in y dir</t>
  </si>
  <si>
    <t>Rumax</t>
  </si>
  <si>
    <t>Minimum Depth Required</t>
  </si>
  <si>
    <t>dmin</t>
  </si>
  <si>
    <t>Depth Provided</t>
  </si>
  <si>
    <t>Vu1</t>
  </si>
  <si>
    <t>P</t>
  </si>
  <si>
    <t>Two Way Shear</t>
  </si>
  <si>
    <t>Vu2</t>
  </si>
  <si>
    <t>Vc1</t>
  </si>
  <si>
    <t>ks trial</t>
  </si>
  <si>
    <t xml:space="preserve">ks </t>
  </si>
  <si>
    <t>ζc</t>
  </si>
  <si>
    <t>ζv</t>
  </si>
  <si>
    <t>ks*ζc</t>
  </si>
  <si>
    <t>Footing Size Design</t>
  </si>
  <si>
    <t>D</t>
  </si>
  <si>
    <t>Effective Cover</t>
  </si>
  <si>
    <t>Effective Depth</t>
  </si>
  <si>
    <t>Footing Size Provided</t>
  </si>
  <si>
    <t>Area Provided</t>
  </si>
  <si>
    <t>A prvd</t>
  </si>
  <si>
    <t>A req</t>
  </si>
  <si>
    <t>Footing Size required</t>
  </si>
  <si>
    <t>q</t>
  </si>
  <si>
    <t xml:space="preserve">Spacing c/c in mm </t>
  </si>
  <si>
    <t>One Way Shear along x direction</t>
  </si>
  <si>
    <t>One Way Shear along y direction</t>
  </si>
  <si>
    <t>L=</t>
  </si>
  <si>
    <t>B=</t>
  </si>
  <si>
    <t>Ast across x direction</t>
  </si>
  <si>
    <t>Ast across y direction</t>
  </si>
  <si>
    <t>C</t>
  </si>
  <si>
    <t>Dead Load</t>
  </si>
  <si>
    <t>DL</t>
  </si>
  <si>
    <t>LL</t>
  </si>
  <si>
    <t>WL</t>
  </si>
  <si>
    <t>Sunken Depth</t>
  </si>
  <si>
    <t>Filler Load</t>
  </si>
  <si>
    <t>FL</t>
  </si>
  <si>
    <t>Wsu</t>
  </si>
  <si>
    <t>Ws</t>
  </si>
  <si>
    <t>Wsk</t>
  </si>
  <si>
    <t>Wsku</t>
  </si>
  <si>
    <t>Sunken Slab Load</t>
  </si>
  <si>
    <t>Slab Load</t>
  </si>
  <si>
    <t xml:space="preserve">Spacing required in mm </t>
  </si>
  <si>
    <t>A</t>
  </si>
  <si>
    <t>E</t>
  </si>
  <si>
    <t>or</t>
  </si>
  <si>
    <t>Deflection</t>
  </si>
  <si>
    <t>II</t>
  </si>
  <si>
    <t>.= (700/(1100 * (0.87 * fy)) * d</t>
  </si>
  <si>
    <r>
      <t>.=(0.87/100) * (fy)</t>
    </r>
    <r>
      <rPr>
        <sz val="11"/>
        <color indexed="8"/>
        <rFont val="Calibri"/>
        <family val="2"/>
      </rPr>
      <t/>
    </r>
  </si>
  <si>
    <t>.=(p*b*d)/100</t>
  </si>
  <si>
    <t>.= 0.36*fck*b*xumax*(d-(0.42*xumax))</t>
  </si>
  <si>
    <t>Regular</t>
  </si>
  <si>
    <t>Slab Type</t>
  </si>
  <si>
    <t>Longer Span (ly)</t>
  </si>
  <si>
    <t>Shorter Span (lx)</t>
  </si>
  <si>
    <t>ly/lx ratio</t>
  </si>
  <si>
    <t>one way</t>
  </si>
  <si>
    <t>two way</t>
  </si>
  <si>
    <t>.=w*lx/2</t>
  </si>
  <si>
    <t>.=w*lx/3</t>
  </si>
  <si>
    <t>Refer Chart 4 SP 16 pg 21</t>
  </si>
  <si>
    <t>Refer Table 5-44 SP 16 pg 51-80</t>
  </si>
  <si>
    <t>.=ast of bar*1000/ast req</t>
  </si>
  <si>
    <t>.=Mulim &gt; Mux or Muy</t>
  </si>
  <si>
    <t>Design Calculations</t>
  </si>
  <si>
    <t>Final Ast provided</t>
  </si>
  <si>
    <t>interptn. value</t>
  </si>
  <si>
    <t>Finishes Load</t>
  </si>
  <si>
    <t>Defln</t>
  </si>
  <si>
    <t>Reaction</t>
  </si>
  <si>
    <r>
      <t>.=(0.87435/100) * (fy/fck)</t>
    </r>
    <r>
      <rPr>
        <i/>
        <vertAlign val="superscript"/>
        <sz val="10"/>
        <rFont val="Times New Roman"/>
        <family val="1"/>
      </rPr>
      <t>2</t>
    </r>
  </si>
  <si>
    <r>
      <t>.=Mu/bd</t>
    </r>
    <r>
      <rPr>
        <vertAlign val="superscript"/>
        <sz val="10"/>
        <rFont val="Times New Roman"/>
        <family val="1"/>
      </rPr>
      <t>2</t>
    </r>
  </si>
  <si>
    <r>
      <t>.=-(b</t>
    </r>
    <r>
      <rPr>
        <sz val="10"/>
        <rFont val="Times New Roman"/>
        <family val="1"/>
      </rPr>
      <t>±√(b</t>
    </r>
    <r>
      <rPr>
        <vertAlign val="superscript"/>
        <sz val="10"/>
        <rFont val="Times New Roman"/>
        <family val="1"/>
      </rPr>
      <t>2</t>
    </r>
    <r>
      <rPr>
        <sz val="10"/>
        <rFont val="Times New Roman"/>
        <family val="1"/>
      </rPr>
      <t>-4ac))/2a</t>
    </r>
  </si>
  <si>
    <r>
      <t>mm</t>
    </r>
    <r>
      <rPr>
        <vertAlign val="superscript"/>
        <sz val="10"/>
        <rFont val="Times New Roman"/>
        <family val="1"/>
      </rPr>
      <t>2</t>
    </r>
  </si>
  <si>
    <r>
      <t>α</t>
    </r>
    <r>
      <rPr>
        <sz val="10"/>
        <rFont val="Times New Roman"/>
        <family val="1"/>
      </rPr>
      <t>x</t>
    </r>
  </si>
  <si>
    <r>
      <t>α</t>
    </r>
    <r>
      <rPr>
        <sz val="10"/>
        <rFont val="Times New Roman"/>
        <family val="1"/>
      </rPr>
      <t>y</t>
    </r>
  </si>
  <si>
    <r>
      <t>W</t>
    </r>
    <r>
      <rPr>
        <vertAlign val="subscript"/>
        <sz val="10"/>
        <rFont val="Times New Roman"/>
        <family val="1"/>
      </rPr>
      <t>longer</t>
    </r>
  </si>
  <si>
    <r>
      <t>.=(w*lx/2) + (1-(1/3)*(lx/ly)</t>
    </r>
    <r>
      <rPr>
        <i/>
        <vertAlign val="superscript"/>
        <sz val="9"/>
        <color indexed="60"/>
        <rFont val="Times New Roman"/>
        <family val="1"/>
      </rPr>
      <t>2</t>
    </r>
    <r>
      <rPr>
        <i/>
        <sz val="9"/>
        <color indexed="60"/>
        <rFont val="Times New Roman"/>
        <family val="1"/>
      </rPr>
      <t>)</t>
    </r>
  </si>
  <si>
    <r>
      <t>W</t>
    </r>
    <r>
      <rPr>
        <vertAlign val="subscript"/>
        <sz val="10"/>
        <rFont val="Times New Roman"/>
        <family val="1"/>
      </rPr>
      <t>shorter</t>
    </r>
  </si>
  <si>
    <r>
      <t>.=w*lx</t>
    </r>
    <r>
      <rPr>
        <i/>
        <vertAlign val="superscript"/>
        <sz val="9"/>
        <color indexed="60"/>
        <rFont val="Times New Roman"/>
        <family val="1"/>
      </rPr>
      <t>2</t>
    </r>
    <r>
      <rPr>
        <i/>
        <sz val="9"/>
        <color indexed="60"/>
        <rFont val="Times New Roman"/>
        <family val="1"/>
      </rPr>
      <t>/ 8</t>
    </r>
  </si>
  <si>
    <r>
      <t>.=</t>
    </r>
    <r>
      <rPr>
        <sz val="9"/>
        <color indexed="60"/>
        <rFont val="Times New Roman"/>
        <family val="1"/>
      </rPr>
      <t xml:space="preserve">αx * </t>
    </r>
    <r>
      <rPr>
        <i/>
        <sz val="9"/>
        <color indexed="60"/>
        <rFont val="Times New Roman"/>
        <family val="1"/>
      </rPr>
      <t>w*lx</t>
    </r>
    <r>
      <rPr>
        <i/>
        <vertAlign val="superscript"/>
        <sz val="9"/>
        <color indexed="60"/>
        <rFont val="Times New Roman"/>
        <family val="1"/>
      </rPr>
      <t>2</t>
    </r>
  </si>
  <si>
    <r>
      <t>.=</t>
    </r>
    <r>
      <rPr>
        <sz val="9"/>
        <color indexed="60"/>
        <rFont val="Times New Roman"/>
        <family val="1"/>
      </rPr>
      <t xml:space="preserve">αy * </t>
    </r>
    <r>
      <rPr>
        <i/>
        <sz val="9"/>
        <color indexed="60"/>
        <rFont val="Times New Roman"/>
        <family val="1"/>
      </rPr>
      <t>w*lx</t>
    </r>
    <r>
      <rPr>
        <i/>
        <vertAlign val="superscript"/>
        <sz val="9"/>
        <color indexed="60"/>
        <rFont val="Times New Roman"/>
        <family val="1"/>
      </rPr>
      <t>2</t>
    </r>
  </si>
  <si>
    <r>
      <t>Mulim/bd</t>
    </r>
    <r>
      <rPr>
        <vertAlign val="superscript"/>
        <sz val="10"/>
        <rFont val="Times New Roman"/>
        <family val="1"/>
      </rPr>
      <t>2</t>
    </r>
  </si>
  <si>
    <r>
      <t>Mux/bd</t>
    </r>
    <r>
      <rPr>
        <vertAlign val="superscript"/>
        <sz val="10"/>
        <rFont val="Times New Roman"/>
        <family val="1"/>
      </rPr>
      <t>2</t>
    </r>
  </si>
  <si>
    <r>
      <t>Muy/bd</t>
    </r>
    <r>
      <rPr>
        <vertAlign val="superscript"/>
        <sz val="10"/>
        <rFont val="Times New Roman"/>
        <family val="1"/>
      </rPr>
      <t>2</t>
    </r>
  </si>
  <si>
    <r>
      <t>.= 5*W*l</t>
    </r>
    <r>
      <rPr>
        <i/>
        <vertAlign val="superscript"/>
        <sz val="9"/>
        <color indexed="60"/>
        <rFont val="Times New Roman"/>
        <family val="1"/>
      </rPr>
      <t>4</t>
    </r>
    <r>
      <rPr>
        <i/>
        <sz val="9"/>
        <color indexed="60"/>
        <rFont val="Times New Roman"/>
        <family val="1"/>
      </rPr>
      <t>/(384EI)</t>
    </r>
  </si>
  <si>
    <r>
      <t>.= bd</t>
    </r>
    <r>
      <rPr>
        <i/>
        <vertAlign val="superscript"/>
        <sz val="9"/>
        <color indexed="60"/>
        <rFont val="Times New Roman"/>
        <family val="1"/>
      </rPr>
      <t>3</t>
    </r>
    <r>
      <rPr>
        <i/>
        <sz val="9"/>
        <color indexed="60"/>
        <rFont val="Times New Roman"/>
        <family val="1"/>
      </rPr>
      <t>/12</t>
    </r>
  </si>
  <si>
    <r>
      <t>8</t>
    </r>
    <r>
      <rPr>
        <sz val="12"/>
        <rFont val="Times New Roman"/>
        <family val="1"/>
      </rPr>
      <t>#</t>
    </r>
  </si>
  <si>
    <r>
      <t>10</t>
    </r>
    <r>
      <rPr>
        <sz val="12"/>
        <rFont val="Times New Roman"/>
        <family val="1"/>
      </rPr>
      <t>#</t>
    </r>
  </si>
  <si>
    <r>
      <t>12</t>
    </r>
    <r>
      <rPr>
        <sz val="12"/>
        <rFont val="Times New Roman"/>
        <family val="1"/>
      </rPr>
      <t>#</t>
    </r>
  </si>
  <si>
    <r>
      <t>16</t>
    </r>
    <r>
      <rPr>
        <sz val="12"/>
        <rFont val="Times New Roman"/>
        <family val="1"/>
      </rPr>
      <t>#</t>
    </r>
  </si>
  <si>
    <t>Isolated Footing Design</t>
  </si>
  <si>
    <t>IS1893:2016 Auto Seismic Load Calculation</t>
  </si>
  <si>
    <r>
      <t>T</t>
    </r>
    <r>
      <rPr>
        <vertAlign val="subscript"/>
        <sz val="10"/>
        <rFont val="Times New Roman"/>
        <family val="1"/>
      </rPr>
      <t>a</t>
    </r>
  </si>
  <si>
    <r>
      <t>S</t>
    </r>
    <r>
      <rPr>
        <vertAlign val="subscript"/>
        <sz val="10"/>
        <rFont val="Times New Roman"/>
        <family val="1"/>
      </rPr>
      <t>a</t>
    </r>
    <r>
      <rPr>
        <sz val="10"/>
        <rFont val="Times New Roman"/>
        <family val="1"/>
      </rPr>
      <t>/g</t>
    </r>
  </si>
  <si>
    <r>
      <t>A</t>
    </r>
    <r>
      <rPr>
        <vertAlign val="subscript"/>
        <sz val="10"/>
        <rFont val="Times New Roman"/>
        <family val="1"/>
      </rPr>
      <t>h</t>
    </r>
  </si>
  <si>
    <r>
      <t>V</t>
    </r>
    <r>
      <rPr>
        <vertAlign val="subscript"/>
        <sz val="10"/>
        <rFont val="Times New Roman"/>
        <family val="1"/>
      </rPr>
      <t>B</t>
    </r>
  </si>
  <si>
    <t xml:space="preserve">Index </t>
  </si>
  <si>
    <t>Unique Value</t>
  </si>
  <si>
    <t>Value needs to be updated in each report</t>
  </si>
  <si>
    <t>Occasional Value</t>
  </si>
  <si>
    <t>Value needs to be updated in Occasionally</t>
  </si>
  <si>
    <t xml:space="preserve">Title </t>
  </si>
  <si>
    <t>Heading layout provided to each title</t>
  </si>
  <si>
    <t>Information of the Consultant</t>
  </si>
  <si>
    <t>Name</t>
  </si>
  <si>
    <t>Name_of_Consulting_Institute</t>
  </si>
  <si>
    <t xml:space="preserve">Location </t>
  </si>
  <si>
    <t xml:space="preserve">Locality </t>
  </si>
  <si>
    <t>Locality_C</t>
  </si>
  <si>
    <t xml:space="preserve">District </t>
  </si>
  <si>
    <t>Kaski</t>
  </si>
  <si>
    <t>District_C</t>
  </si>
  <si>
    <t>Country</t>
  </si>
  <si>
    <t>Nepal</t>
  </si>
  <si>
    <t>Country_C</t>
  </si>
  <si>
    <t>Architect's Name</t>
  </si>
  <si>
    <t xml:space="preserve">Dipesh Jaisi </t>
  </si>
  <si>
    <t>Drafter's Name</t>
  </si>
  <si>
    <t xml:space="preserve">Sagar Aryal </t>
  </si>
  <si>
    <t>Structural Engineer</t>
  </si>
  <si>
    <t>Nolaraj Poudel</t>
  </si>
  <si>
    <t>Submitted to</t>
  </si>
  <si>
    <t>Submitted_To</t>
  </si>
  <si>
    <t>Information of the Client</t>
  </si>
  <si>
    <t>Location of Structure</t>
  </si>
  <si>
    <t>Locality_Cl</t>
  </si>
  <si>
    <t>District_Cl</t>
  </si>
  <si>
    <t>Country_Cl</t>
  </si>
  <si>
    <t>General Information of design</t>
  </si>
  <si>
    <t xml:space="preserve">Softwares Used and Version </t>
  </si>
  <si>
    <t>Residential Building</t>
  </si>
  <si>
    <t>RESIDENTIAL BUILDING</t>
  </si>
  <si>
    <t>Type_of_Building</t>
  </si>
  <si>
    <t>Type_of_Building_Bold_UC</t>
  </si>
  <si>
    <t>ETABS (Version 18.1.1)</t>
  </si>
  <si>
    <t>Building System</t>
  </si>
  <si>
    <t>Dual Systems</t>
  </si>
  <si>
    <t>Building_System</t>
  </si>
  <si>
    <t>ETABS (Version 18.1.2)</t>
  </si>
  <si>
    <t>Number of Stories</t>
  </si>
  <si>
    <t>Building_Storey</t>
  </si>
  <si>
    <t>Software Used</t>
  </si>
  <si>
    <t>Software_Version</t>
  </si>
  <si>
    <t xml:space="preserve">Codes and Standards </t>
  </si>
  <si>
    <t>Codes</t>
  </si>
  <si>
    <t>Design Code</t>
  </si>
  <si>
    <t>IS 1893</t>
  </si>
  <si>
    <t>IS Codes</t>
  </si>
  <si>
    <t>IS 19320</t>
  </si>
  <si>
    <t xml:space="preserve">Name </t>
  </si>
  <si>
    <t>Year of release</t>
  </si>
  <si>
    <t>Part</t>
  </si>
  <si>
    <t>Title</t>
  </si>
  <si>
    <t>IS 456</t>
  </si>
  <si>
    <t>Prime Code</t>
  </si>
  <si>
    <t>Criteria for Earthquake Resistant Design of Structures</t>
  </si>
  <si>
    <t>Code_1</t>
  </si>
  <si>
    <t>Year_1</t>
  </si>
  <si>
    <t>Part_1</t>
  </si>
  <si>
    <t>Title_1</t>
  </si>
  <si>
    <t>NBC 105</t>
  </si>
  <si>
    <t>Plane and Reinforced Concrete (Code of practice)</t>
  </si>
  <si>
    <t>Plain and Reinforced Concrete - Code of Practice</t>
  </si>
  <si>
    <t>Code_2</t>
  </si>
  <si>
    <t>Year_2</t>
  </si>
  <si>
    <t>Title_2</t>
  </si>
  <si>
    <t>IS 875</t>
  </si>
  <si>
    <t>Dead Loads (Other than EQ)</t>
  </si>
  <si>
    <t>Code of Practice for Design Loads (other than Earthquake) for Buildings and Structures: Part 1 Dead Loads – Unit Weights of Building Material and Stored Materials (Second Revision)</t>
  </si>
  <si>
    <t>Code_3</t>
  </si>
  <si>
    <t>Year_3</t>
  </si>
  <si>
    <t>Title_3</t>
  </si>
  <si>
    <t>SP 34</t>
  </si>
  <si>
    <t>Imposed Loads (Other than EQ)</t>
  </si>
  <si>
    <t>Code of Practice for Design Loads (other than Earthquake) for Buildings and Structures: Part 2 Imposed Loads (Second Revision)</t>
  </si>
  <si>
    <t>Code_4</t>
  </si>
  <si>
    <t>Year_4</t>
  </si>
  <si>
    <t>Part_2</t>
  </si>
  <si>
    <t>Title_4</t>
  </si>
  <si>
    <t>IS 1904</t>
  </si>
  <si>
    <t>Wind Loads (Other than EQ)</t>
  </si>
  <si>
    <t>Code of Practice for Design Loads (other than Earthquake) for Buildings and Structures: Part 3 Wind Loads (Second Revision)</t>
  </si>
  <si>
    <t>Code_5</t>
  </si>
  <si>
    <t>Year_5</t>
  </si>
  <si>
    <t>Part_3</t>
  </si>
  <si>
    <t>Title_5</t>
  </si>
  <si>
    <t>Concrete Reinforcement and Detailing Handbook</t>
  </si>
  <si>
    <t>Handbook on Concrete Reinforcement and Detailing</t>
  </si>
  <si>
    <t>Code_6</t>
  </si>
  <si>
    <t>Year_6</t>
  </si>
  <si>
    <t>Title_6</t>
  </si>
  <si>
    <t>Foundation Construction and Design</t>
  </si>
  <si>
    <t>Design and Construction of Foundation in soils</t>
  </si>
  <si>
    <t>Code_7</t>
  </si>
  <si>
    <t>Year_7</t>
  </si>
  <si>
    <t>Title_7</t>
  </si>
  <si>
    <t>Ductile Detailing</t>
  </si>
  <si>
    <t>Code of practice for Ductile detailing of reinforced concrete structures subjected to seismic forces</t>
  </si>
  <si>
    <t>Code_8</t>
  </si>
  <si>
    <t>Year_8</t>
  </si>
  <si>
    <t>Title_8</t>
  </si>
  <si>
    <t>NBC Codes</t>
  </si>
  <si>
    <t xml:space="preserve">Design Parameters </t>
  </si>
  <si>
    <t>Seismic region</t>
  </si>
  <si>
    <t>Seismic_Region</t>
  </si>
  <si>
    <t xml:space="preserve">Type </t>
  </si>
  <si>
    <t>Response_Reduction_Factor</t>
  </si>
  <si>
    <t>Stiff or Hard Soil Sites</t>
  </si>
  <si>
    <t>Importance Factor</t>
  </si>
  <si>
    <t>Importance_Factor</t>
  </si>
  <si>
    <t>Medium Soil Sites</t>
  </si>
  <si>
    <t>Zone Factor</t>
  </si>
  <si>
    <t>Zone_Factor</t>
  </si>
  <si>
    <t>Soft Soil Sites</t>
  </si>
  <si>
    <t>Soil type</t>
  </si>
  <si>
    <t>Soil_Index</t>
  </si>
  <si>
    <t>Soil_Type</t>
  </si>
  <si>
    <t>Very Soft Soil Sites</t>
  </si>
  <si>
    <t>Rμ</t>
  </si>
  <si>
    <t>Ductility_Factor</t>
  </si>
  <si>
    <t>Ωu</t>
  </si>
  <si>
    <t>Overstrength_ULS</t>
  </si>
  <si>
    <t>Ωs</t>
  </si>
  <si>
    <t>Overstrength_SLS</t>
  </si>
  <si>
    <t xml:space="preserve">Soil Bearing Capacity </t>
  </si>
  <si>
    <t>kN/m²</t>
  </si>
  <si>
    <t>Bearing_Capacity</t>
  </si>
  <si>
    <t>Areal_Load</t>
  </si>
  <si>
    <t xml:space="preserve"> 9" wall without openings</t>
  </si>
  <si>
    <t>kN/m</t>
  </si>
  <si>
    <t>Nine_inch_without_opening</t>
  </si>
  <si>
    <t>Linear_Load</t>
  </si>
  <si>
    <t>Nine_inch_with_opening</t>
  </si>
  <si>
    <t xml:space="preserve"> 5" wall </t>
  </si>
  <si>
    <t>Five_inch</t>
  </si>
  <si>
    <t>Floor_Finish</t>
  </si>
  <si>
    <t>the lower periods of the flat part of the spectrum Ta</t>
  </si>
  <si>
    <t>Ta</t>
  </si>
  <si>
    <t>the upper periods of the flat part of the spectrum Tc</t>
  </si>
  <si>
    <t>Tc</t>
  </si>
  <si>
    <t>peak spectral acceleration normalized by PGA α</t>
  </si>
  <si>
    <t>Alpha</t>
  </si>
  <si>
    <t>Coefficient that controls the descending branch of the spectrum, K</t>
  </si>
  <si>
    <t>K</t>
  </si>
  <si>
    <t>Building_Detail</t>
  </si>
  <si>
    <t>Seismic Coefficient as per NBC 105:2020</t>
  </si>
  <si>
    <t xml:space="preserve">Seismic zoning factor (Z) </t>
  </si>
  <si>
    <t>Importance Factor (I)</t>
  </si>
  <si>
    <t>Height of the Building (h)</t>
  </si>
  <si>
    <t>Period of Vibration</t>
  </si>
  <si>
    <r>
      <t>For reinforced moment resisting frame, K</t>
    </r>
    <r>
      <rPr>
        <vertAlign val="subscript"/>
        <sz val="12"/>
        <color theme="1"/>
        <rFont val="Times New Roman"/>
        <family val="1"/>
      </rPr>
      <t>t</t>
    </r>
  </si>
  <si>
    <r>
      <t>T</t>
    </r>
    <r>
      <rPr>
        <vertAlign val="subscript"/>
        <sz val="12"/>
        <color theme="1"/>
        <rFont val="Times New Roman"/>
        <family val="1"/>
      </rPr>
      <t>1</t>
    </r>
    <r>
      <rPr>
        <sz val="12"/>
        <color theme="1"/>
        <rFont val="Times New Roman"/>
        <family val="1"/>
      </rPr>
      <t>=1.25*K</t>
    </r>
    <r>
      <rPr>
        <vertAlign val="subscript"/>
        <sz val="12"/>
        <color theme="1"/>
        <rFont val="Times New Roman"/>
        <family val="1"/>
      </rPr>
      <t>t</t>
    </r>
    <r>
      <rPr>
        <sz val="12"/>
        <color theme="1"/>
        <rFont val="Times New Roman"/>
        <family val="1"/>
      </rPr>
      <t>*h</t>
    </r>
    <r>
      <rPr>
        <vertAlign val="superscript"/>
        <sz val="12"/>
        <color theme="1"/>
        <rFont val="Times New Roman"/>
        <family val="1"/>
      </rPr>
      <t>0.75</t>
    </r>
  </si>
  <si>
    <r>
      <t>Lower period of the flat part of the spectrum T</t>
    </r>
    <r>
      <rPr>
        <vertAlign val="subscript"/>
        <sz val="12"/>
        <color theme="1"/>
        <rFont val="Times New Roman"/>
        <family val="1"/>
      </rPr>
      <t>a</t>
    </r>
  </si>
  <si>
    <t>α</t>
  </si>
  <si>
    <r>
      <t>Upper period of the flat part of the spectrum T</t>
    </r>
    <r>
      <rPr>
        <vertAlign val="subscript"/>
        <sz val="12"/>
        <color theme="1"/>
        <rFont val="Times New Roman"/>
        <family val="1"/>
      </rPr>
      <t>c</t>
    </r>
  </si>
  <si>
    <t>Peak spectral acceleration normalized by PGA α</t>
  </si>
  <si>
    <t>Coefficient to control the descending branch of the spectrum K</t>
  </si>
  <si>
    <t>Structural System</t>
  </si>
  <si>
    <t>Rµ</t>
  </si>
  <si>
    <t>Ωu</t>
  </si>
  <si>
    <t>Ωs</t>
  </si>
  <si>
    <t>Moment Resisting Frame System</t>
  </si>
  <si>
    <t>Steel Moment Resisting Frame System</t>
  </si>
  <si>
    <r>
      <t>Calculation of spectral shape factor:C</t>
    </r>
    <r>
      <rPr>
        <b/>
        <vertAlign val="subscript"/>
        <sz val="12"/>
        <color theme="1"/>
        <rFont val="Times New Roman"/>
        <family val="1"/>
      </rPr>
      <t>h</t>
    </r>
    <r>
      <rPr>
        <b/>
        <sz val="12"/>
        <color theme="1"/>
        <rFont val="Times New Roman"/>
        <family val="1"/>
      </rPr>
      <t>(T)</t>
    </r>
    <r>
      <rPr>
        <sz val="12"/>
        <color theme="1"/>
        <rFont val="Times New Roman"/>
        <family val="1"/>
      </rPr>
      <t/>
    </r>
  </si>
  <si>
    <t>Reinforced Concrete Moment Resisting Frame System</t>
  </si>
  <si>
    <t xml:space="preserve">  (Clause 4.1.2 or Eqn. 4.1 NBC 105-2020)</t>
  </si>
  <si>
    <t>Steel + RC Composite Moment Resisting Frame System</t>
  </si>
  <si>
    <t>Braced Frame Systems</t>
  </si>
  <si>
    <t>Steel  Eccentrically  Braced Frame Systems</t>
  </si>
  <si>
    <r>
      <t>Elastic site spectra for the Horizontal Loading (</t>
    </r>
    <r>
      <rPr>
        <i/>
        <u/>
        <sz val="12"/>
        <color theme="1"/>
        <rFont val="Times New Roman"/>
        <family val="1"/>
      </rPr>
      <t>Clause 4.1.1 NBC 105-2020</t>
    </r>
    <r>
      <rPr>
        <sz val="12"/>
        <color theme="1"/>
        <rFont val="Times New Roman"/>
        <family val="1"/>
      </rPr>
      <t>)</t>
    </r>
  </si>
  <si>
    <t>Steel + RC Composite Braced Frame Systems</t>
  </si>
  <si>
    <r>
      <t>C(T)=C</t>
    </r>
    <r>
      <rPr>
        <vertAlign val="subscript"/>
        <sz val="12"/>
        <color theme="1"/>
        <rFont val="Times New Roman"/>
        <family val="1"/>
      </rPr>
      <t>h</t>
    </r>
    <r>
      <rPr>
        <sz val="12"/>
        <color theme="1"/>
        <rFont val="Times New Roman"/>
        <family val="1"/>
      </rPr>
      <t>(T) Z I</t>
    </r>
  </si>
  <si>
    <t>Steel Concentric Braced Frame Systems</t>
  </si>
  <si>
    <r>
      <t>Elastic site spectra for the SLS state (</t>
    </r>
    <r>
      <rPr>
        <i/>
        <u/>
        <sz val="12"/>
        <color theme="1"/>
        <rFont val="Times New Roman"/>
        <family val="1"/>
      </rPr>
      <t>Clause 4.2 NBC 105-2020</t>
    </r>
    <r>
      <rPr>
        <sz val="12"/>
        <color theme="1"/>
        <rFont val="Times New Roman"/>
        <family val="1"/>
      </rPr>
      <t>)</t>
    </r>
  </si>
  <si>
    <t>Steel + RC Composite Concentric Braced Frame Systems</t>
  </si>
  <si>
    <r>
      <t>C</t>
    </r>
    <r>
      <rPr>
        <vertAlign val="subscript"/>
        <sz val="12"/>
        <color theme="1"/>
        <rFont val="Times New Roman"/>
        <family val="1"/>
      </rPr>
      <t>s</t>
    </r>
    <r>
      <rPr>
        <sz val="12"/>
        <color theme="1"/>
        <rFont val="Times New Roman"/>
        <family val="1"/>
      </rPr>
      <t>(T</t>
    </r>
    <r>
      <rPr>
        <vertAlign val="subscript"/>
        <sz val="12"/>
        <color theme="1"/>
        <rFont val="Times New Roman"/>
        <family val="1"/>
      </rPr>
      <t>1</t>
    </r>
    <r>
      <rPr>
        <sz val="12"/>
        <color theme="1"/>
        <rFont val="Times New Roman"/>
        <family val="1"/>
      </rPr>
      <t>)=0.2*C(T)</t>
    </r>
  </si>
  <si>
    <t>Steel Buckling Restraint Braces</t>
  </si>
  <si>
    <t>Structural Wall Systems</t>
  </si>
  <si>
    <t>RC Shear Wall</t>
  </si>
  <si>
    <t>Horizontal base shear coefficeint for the equivalent static method</t>
  </si>
  <si>
    <t>Steel + RC Composite Shear Wall</t>
  </si>
  <si>
    <t>(Clause 5.4.1 and Clause 5.4.2 NBC 105-2020)</t>
  </si>
  <si>
    <t>Reinforced Masonry shear wall</t>
  </si>
  <si>
    <t>Confined Masonry Wall</t>
  </si>
  <si>
    <r>
      <t>Ductility factor for ULS state(R</t>
    </r>
    <r>
      <rPr>
        <vertAlign val="subscript"/>
        <sz val="12"/>
        <color theme="1"/>
        <rFont val="Calibri"/>
        <family val="2"/>
      </rPr>
      <t>µ</t>
    </r>
    <r>
      <rPr>
        <sz val="12"/>
        <color theme="1"/>
        <rFont val="Times New Roman"/>
        <family val="1"/>
      </rPr>
      <t>)</t>
    </r>
  </si>
  <si>
    <t>Unreinforced Masonry wall building with horizontal bands and vertical reinforcements bars at critical location</t>
  </si>
  <si>
    <r>
      <t>Overstrength factor for ULS state(Ω</t>
    </r>
    <r>
      <rPr>
        <vertAlign val="subscript"/>
        <sz val="12"/>
        <color theme="1"/>
        <rFont val="Times New Roman"/>
        <family val="1"/>
      </rPr>
      <t>u</t>
    </r>
    <r>
      <rPr>
        <sz val="12"/>
        <color theme="1"/>
        <rFont val="Times New Roman"/>
        <family val="1"/>
      </rPr>
      <t>)</t>
    </r>
  </si>
  <si>
    <r>
      <t>Ductility factor for SLS state(R</t>
    </r>
    <r>
      <rPr>
        <vertAlign val="subscript"/>
        <sz val="12"/>
        <color theme="1"/>
        <rFont val="Times New Roman"/>
        <family val="1"/>
      </rPr>
      <t>s</t>
    </r>
    <r>
      <rPr>
        <sz val="12"/>
        <color theme="1"/>
        <rFont val="Times New Roman"/>
        <family val="1"/>
      </rPr>
      <t>)</t>
    </r>
  </si>
  <si>
    <r>
      <t>Overstrength factor for SLS state (Ω</t>
    </r>
    <r>
      <rPr>
        <vertAlign val="subscript"/>
        <sz val="12"/>
        <color theme="1"/>
        <rFont val="Times New Roman"/>
        <family val="1"/>
      </rPr>
      <t>s</t>
    </r>
    <r>
      <rPr>
        <sz val="12"/>
        <color theme="1"/>
        <rFont val="Times New Roman"/>
        <family val="1"/>
      </rPr>
      <t>)</t>
    </r>
  </si>
  <si>
    <r>
      <t xml:space="preserve">Horizontal base shear coefficient at the ULS state </t>
    </r>
    <r>
      <rPr>
        <i/>
        <u/>
        <sz val="12"/>
        <color theme="1"/>
        <rFont val="Times New Roman"/>
        <family val="1"/>
      </rPr>
      <t>(Clause 6.1.1 NBC 105-2020)</t>
    </r>
  </si>
  <si>
    <r>
      <t>C</t>
    </r>
    <r>
      <rPr>
        <vertAlign val="subscript"/>
        <sz val="12"/>
        <color theme="1"/>
        <rFont val="Times New Roman"/>
        <family val="1"/>
      </rPr>
      <t>d</t>
    </r>
    <r>
      <rPr>
        <sz val="12"/>
        <color theme="1"/>
        <rFont val="Times New Roman"/>
        <family val="1"/>
      </rPr>
      <t>(T</t>
    </r>
    <r>
      <rPr>
        <vertAlign val="subscript"/>
        <sz val="12"/>
        <color theme="1"/>
        <rFont val="Times New Roman"/>
        <family val="1"/>
      </rPr>
      <t>1</t>
    </r>
    <r>
      <rPr>
        <sz val="12"/>
        <color theme="1"/>
        <rFont val="Times New Roman"/>
        <family val="1"/>
      </rPr>
      <t>) = C(T) / (R</t>
    </r>
    <r>
      <rPr>
        <vertAlign val="subscript"/>
        <sz val="12"/>
        <color theme="1"/>
        <rFont val="Calibri"/>
        <family val="2"/>
      </rPr>
      <t>µ</t>
    </r>
    <r>
      <rPr>
        <sz val="12"/>
        <color theme="1"/>
        <rFont val="Times New Roman"/>
        <family val="1"/>
      </rPr>
      <t xml:space="preserve"> Ω</t>
    </r>
    <r>
      <rPr>
        <vertAlign val="subscript"/>
        <sz val="12"/>
        <color theme="1"/>
        <rFont val="Times New Roman"/>
        <family val="1"/>
      </rPr>
      <t>u</t>
    </r>
    <r>
      <rPr>
        <sz val="12"/>
        <color theme="1"/>
        <rFont val="Times New Roman"/>
        <family val="1"/>
      </rPr>
      <t>)</t>
    </r>
  </si>
  <si>
    <r>
      <t>Horizontal base shear coefficient at the SLS state</t>
    </r>
    <r>
      <rPr>
        <i/>
        <u/>
        <sz val="12"/>
        <color theme="1"/>
        <rFont val="Times New Roman"/>
        <family val="1"/>
      </rPr>
      <t xml:space="preserve"> (Clause 6.1.2 NBC 105-2020)</t>
    </r>
  </si>
  <si>
    <r>
      <t>C</t>
    </r>
    <r>
      <rPr>
        <vertAlign val="subscript"/>
        <sz val="12"/>
        <color theme="1"/>
        <rFont val="Times New Roman"/>
        <family val="1"/>
      </rPr>
      <t>d</t>
    </r>
    <r>
      <rPr>
        <sz val="12"/>
        <color theme="1"/>
        <rFont val="Times New Roman"/>
        <family val="1"/>
      </rPr>
      <t>(T</t>
    </r>
    <r>
      <rPr>
        <vertAlign val="subscript"/>
        <sz val="12"/>
        <color theme="1"/>
        <rFont val="Times New Roman"/>
        <family val="1"/>
      </rPr>
      <t>1</t>
    </r>
    <r>
      <rPr>
        <sz val="12"/>
        <color theme="1"/>
        <rFont val="Times New Roman"/>
        <family val="1"/>
      </rPr>
      <t>) = C</t>
    </r>
    <r>
      <rPr>
        <vertAlign val="subscript"/>
        <sz val="12"/>
        <color theme="1"/>
        <rFont val="Times New Roman"/>
        <family val="1"/>
      </rPr>
      <t>s</t>
    </r>
    <r>
      <rPr>
        <sz val="12"/>
        <color theme="1"/>
        <rFont val="Times New Roman"/>
        <family val="1"/>
      </rPr>
      <t>(T</t>
    </r>
    <r>
      <rPr>
        <vertAlign val="subscript"/>
        <sz val="12"/>
        <color theme="1"/>
        <rFont val="Times New Roman"/>
        <family val="1"/>
      </rPr>
      <t>1</t>
    </r>
    <r>
      <rPr>
        <sz val="12"/>
        <color theme="1"/>
        <rFont val="Times New Roman"/>
        <family val="1"/>
      </rPr>
      <t>) / Ω</t>
    </r>
    <r>
      <rPr>
        <vertAlign val="subscript"/>
        <sz val="12"/>
        <color theme="1"/>
        <rFont val="Times New Roman"/>
        <family val="1"/>
      </rPr>
      <t>s</t>
    </r>
  </si>
  <si>
    <t>Exponent related to the structural period (K)</t>
  </si>
  <si>
    <t>Displacement Criteria for the Equivalent Static Method</t>
  </si>
  <si>
    <t>Allowable ratio ULS</t>
  </si>
  <si>
    <r>
      <t>Allowable displacement ULS = 0.025 H / R</t>
    </r>
    <r>
      <rPr>
        <vertAlign val="subscript"/>
        <sz val="12"/>
        <color theme="1"/>
        <rFont val="Calibri"/>
        <family val="2"/>
      </rPr>
      <t>µ</t>
    </r>
  </si>
  <si>
    <t>Allowable ratio SLS</t>
  </si>
  <si>
    <r>
      <t>Allowable displacement SLS = 0.006 H / R</t>
    </r>
    <r>
      <rPr>
        <vertAlign val="subscript"/>
        <sz val="12"/>
        <color theme="1"/>
        <rFont val="Times New Roman"/>
        <family val="1"/>
      </rPr>
      <t>s</t>
    </r>
  </si>
  <si>
    <t>Story drift from ETABS ULS</t>
  </si>
  <si>
    <r>
      <t>Allowable drift = 0.025 / R</t>
    </r>
    <r>
      <rPr>
        <vertAlign val="subscript"/>
        <sz val="12"/>
        <color theme="1"/>
        <rFont val="Calibri"/>
        <family val="2"/>
      </rPr>
      <t>µ</t>
    </r>
  </si>
  <si>
    <t>Allowable drift</t>
  </si>
  <si>
    <t>Kiran Thapa</t>
  </si>
  <si>
    <t>Moment Resisting Frame Systems</t>
  </si>
  <si>
    <t>NBC</t>
  </si>
  <si>
    <t>ETABS (Version 18.1.0)</t>
  </si>
  <si>
    <t>Pokhara</t>
  </si>
  <si>
    <t>Thickness</t>
  </si>
  <si>
    <t>kN/m2</t>
  </si>
  <si>
    <t>m</t>
  </si>
  <si>
    <t>mm</t>
  </si>
  <si>
    <t>Width</t>
  </si>
  <si>
    <t>Depth</t>
  </si>
  <si>
    <t xml:space="preserve">Upward Reaction </t>
  </si>
  <si>
    <t>mm2</t>
  </si>
  <si>
    <t xml:space="preserve">Nos </t>
  </si>
  <si>
    <t xml:space="preserve">Number of longitudinal rebar </t>
  </si>
  <si>
    <t>Provided Steel  Daimeter</t>
  </si>
  <si>
    <t xml:space="preserve">Reinforcement Ast </t>
  </si>
  <si>
    <t xml:space="preserve">Overall Depth of strap beam </t>
  </si>
  <si>
    <t>Clear Cover d'</t>
  </si>
  <si>
    <t>Provide d</t>
  </si>
  <si>
    <t xml:space="preserve">Depth of Beam </t>
  </si>
  <si>
    <t>KN.m</t>
  </si>
  <si>
    <t xml:space="preserve">Design Bemding Moment </t>
  </si>
  <si>
    <t xml:space="preserve">Sagging Moment </t>
  </si>
  <si>
    <t xml:space="preserve">Hogging Bending Moment </t>
  </si>
  <si>
    <t xml:space="preserve">KN/m </t>
  </si>
  <si>
    <t xml:space="preserve">Intensity of Base Shear Acting on beam </t>
  </si>
  <si>
    <t xml:space="preserve">Design of Strap Beam </t>
  </si>
  <si>
    <t xml:space="preserve">Spacing of Steel </t>
  </si>
  <si>
    <t xml:space="preserve">Provided Diameter of steel </t>
  </si>
  <si>
    <t xml:space="preserve">From Shear Force </t>
  </si>
  <si>
    <t xml:space="preserve">Steel Required (Ast) </t>
  </si>
  <si>
    <t xml:space="preserve">From Moment </t>
  </si>
  <si>
    <t>Overall Depth D</t>
  </si>
  <si>
    <t>Adopt Depth d</t>
  </si>
  <si>
    <t xml:space="preserve">Depth For Safe Shear Stress (d) </t>
  </si>
  <si>
    <t>Mpa</t>
  </si>
  <si>
    <t>tc( Concrete shear Strength)</t>
  </si>
  <si>
    <t xml:space="preserve">Ast/bd x 100 </t>
  </si>
  <si>
    <t xml:space="preserve">For Balance Section </t>
  </si>
  <si>
    <t>Depth of foundation Slab (d mm)</t>
  </si>
  <si>
    <t xml:space="preserve">Maximun Shear Force </t>
  </si>
  <si>
    <t xml:space="preserve">Maximun Bending Moment </t>
  </si>
  <si>
    <t xml:space="preserve">Design of Foundation Slab </t>
  </si>
  <si>
    <t xml:space="preserve">OK </t>
  </si>
  <si>
    <t>KN/m2</t>
  </si>
  <si>
    <t>&lt;</t>
  </si>
  <si>
    <t xml:space="preserve">Stress due to load </t>
  </si>
  <si>
    <t>Provided L2</t>
  </si>
  <si>
    <t>Length of Isolated  Footing L2</t>
  </si>
  <si>
    <t xml:space="preserve">Provided L1 </t>
  </si>
  <si>
    <t>Provided width of footing (B)</t>
  </si>
  <si>
    <t>Center of gravity from Isolated footing (X)</t>
  </si>
  <si>
    <t>Sq.m</t>
  </si>
  <si>
    <t>Required area (Ar)</t>
  </si>
  <si>
    <t xml:space="preserve">KN </t>
  </si>
  <si>
    <t xml:space="preserve">Proportioning of Foundation </t>
  </si>
  <si>
    <t>Soil Bearing Capacity SBC</t>
  </si>
  <si>
    <t>MPa</t>
  </si>
  <si>
    <t xml:space="preserve">Concrete Grade </t>
  </si>
  <si>
    <t xml:space="preserve">Steel Grade </t>
  </si>
  <si>
    <t>LOAD Pb(u)</t>
  </si>
  <si>
    <t>COLUMN SIZE (B)</t>
  </si>
  <si>
    <t>COLUM SIZE (A)</t>
  </si>
  <si>
    <t xml:space="preserve">Eccentric Footing Design </t>
  </si>
  <si>
    <t>Design Summary</t>
  </si>
  <si>
    <t>Foundation Slab</t>
  </si>
  <si>
    <t>Concentric footing</t>
  </si>
  <si>
    <t>Eccentric footing</t>
  </si>
  <si>
    <t>Length</t>
  </si>
  <si>
    <t>Longitudinal Reinforcement</t>
  </si>
  <si>
    <t>Transverse Reinforcement</t>
  </si>
  <si>
    <t>Strap Beam</t>
  </si>
  <si>
    <t>If Strap beam depth is grater than 700mm side bar also provided side  bar (each side) at middle portion of beam.</t>
  </si>
  <si>
    <t>Diameter(mm)</t>
  </si>
  <si>
    <t>Spacing(mm)</t>
  </si>
  <si>
    <t>Tension Reinforcement</t>
  </si>
  <si>
    <t>Compression Reinforcement</t>
  </si>
  <si>
    <t>Numbers(mm)</t>
  </si>
  <si>
    <t>Pokhara Metropolitan City Ward No-16, Ofiice</t>
  </si>
  <si>
    <t>Data Selection for report</t>
  </si>
  <si>
    <t>L_alongX</t>
  </si>
  <si>
    <t>B_alongY</t>
  </si>
  <si>
    <t>Building Length (Along_X)</t>
  </si>
  <si>
    <t>Particulars</t>
  </si>
  <si>
    <t>Line No</t>
  </si>
  <si>
    <t>Client Information</t>
  </si>
  <si>
    <t>Consultant Information</t>
  </si>
  <si>
    <t>Design Information</t>
  </si>
  <si>
    <t>Codes and Standards</t>
  </si>
  <si>
    <t>Design Parameters</t>
  </si>
  <si>
    <t>Column Design</t>
  </si>
  <si>
    <t>Design Loads</t>
  </si>
  <si>
    <t xml:space="preserve">Moment </t>
  </si>
  <si>
    <t>Mu</t>
  </si>
  <si>
    <t>Column Data</t>
  </si>
  <si>
    <t>depth</t>
  </si>
  <si>
    <t>length</t>
  </si>
  <si>
    <t>l</t>
  </si>
  <si>
    <t>Grade</t>
  </si>
  <si>
    <t>Steel</t>
  </si>
  <si>
    <t>Pu/(fckbd)</t>
  </si>
  <si>
    <t>Minimum eccentricity</t>
  </si>
  <si>
    <r>
      <t>Mu/(fckbd</t>
    </r>
    <r>
      <rPr>
        <vertAlign val="superscript"/>
        <sz val="10"/>
        <rFont val="Arial"/>
        <family val="2"/>
      </rPr>
      <t>2</t>
    </r>
    <r>
      <rPr>
        <sz val="10"/>
        <rFont val="Arial"/>
      </rPr>
      <t>)</t>
    </r>
  </si>
  <si>
    <t>ex</t>
  </si>
  <si>
    <t>d'/d</t>
  </si>
  <si>
    <t>ey</t>
  </si>
  <si>
    <t>pt/fck</t>
  </si>
  <si>
    <t>pt</t>
  </si>
  <si>
    <t xml:space="preserve">Number of bars </t>
  </si>
  <si>
    <t>dia</t>
  </si>
  <si>
    <t>nos</t>
  </si>
  <si>
    <t>ast</t>
  </si>
  <si>
    <t>●</t>
  </si>
  <si>
    <t>Total</t>
  </si>
  <si>
    <t>Chart No.</t>
  </si>
  <si>
    <t>Page No</t>
  </si>
  <si>
    <t>Chart 27</t>
  </si>
  <si>
    <t>Chart 28</t>
  </si>
  <si>
    <t>Chart 29</t>
  </si>
  <si>
    <t>Chart 30</t>
  </si>
  <si>
    <t>Chart 31</t>
  </si>
  <si>
    <t>Chart 32</t>
  </si>
  <si>
    <t>Chart 33</t>
  </si>
  <si>
    <t>Chart 34</t>
  </si>
  <si>
    <t>Chart 35</t>
  </si>
  <si>
    <t>Chart 36</t>
  </si>
  <si>
    <t>Chart 37</t>
  </si>
  <si>
    <t>Chart 38</t>
  </si>
  <si>
    <t>Beam Design</t>
  </si>
  <si>
    <t>Beam Data</t>
  </si>
  <si>
    <t>.= cc+ sdia + mdia/2</t>
  </si>
  <si>
    <t>clear cover to main reinf.</t>
  </si>
  <si>
    <t>eff depth</t>
  </si>
  <si>
    <t>.= d - d'</t>
  </si>
  <si>
    <t>Material Grades</t>
  </si>
  <si>
    <t xml:space="preserve">Steel </t>
  </si>
  <si>
    <t>Steel Calculation</t>
  </si>
  <si>
    <t xml:space="preserve"> </t>
  </si>
  <si>
    <t>Moment</t>
  </si>
  <si>
    <r>
      <t>Mu/bd</t>
    </r>
    <r>
      <rPr>
        <vertAlign val="superscript"/>
        <sz val="10"/>
        <rFont val="Arial"/>
        <family val="2"/>
      </rPr>
      <t>2</t>
    </r>
  </si>
  <si>
    <t>Grade Check</t>
  </si>
  <si>
    <t>Mulim</t>
  </si>
  <si>
    <r>
      <t>Mulim/bd</t>
    </r>
    <r>
      <rPr>
        <vertAlign val="superscript"/>
        <sz val="10"/>
        <rFont val="Arial"/>
        <family val="2"/>
      </rPr>
      <t>2</t>
    </r>
  </si>
  <si>
    <t>DRB</t>
  </si>
  <si>
    <r>
      <t>.=(0.87435/100) * (fy/fck)</t>
    </r>
    <r>
      <rPr>
        <i/>
        <vertAlign val="superscript"/>
        <sz val="10"/>
        <rFont val="Arial"/>
        <family val="2"/>
      </rPr>
      <t>2</t>
    </r>
  </si>
  <si>
    <r>
      <t>.=Mu/bd</t>
    </r>
    <r>
      <rPr>
        <vertAlign val="superscript"/>
        <sz val="10"/>
        <rFont val="Arial"/>
        <family val="2"/>
      </rPr>
      <t>2</t>
    </r>
  </si>
  <si>
    <r>
      <t>.=Mulim/bd</t>
    </r>
    <r>
      <rPr>
        <vertAlign val="superscript"/>
        <sz val="10"/>
        <rFont val="Arial"/>
        <family val="2"/>
      </rPr>
      <t>2</t>
    </r>
  </si>
  <si>
    <t>Tension (Ast)</t>
  </si>
  <si>
    <t>Compr (Asc)</t>
  </si>
  <si>
    <r>
      <t>.=-(b</t>
    </r>
    <r>
      <rPr>
        <sz val="10"/>
        <rFont val="Calibri"/>
        <charset val="1"/>
      </rPr>
      <t>±</t>
    </r>
    <r>
      <rPr>
        <sz val="10"/>
        <rFont val="Calibri"/>
      </rPr>
      <t>√(b</t>
    </r>
    <r>
      <rPr>
        <vertAlign val="superscript"/>
        <sz val="10"/>
        <rFont val="Calibri"/>
      </rPr>
      <t>2</t>
    </r>
    <r>
      <rPr>
        <sz val="10"/>
        <rFont val="Calibri"/>
      </rPr>
      <t>-4ac))/2a</t>
    </r>
  </si>
  <si>
    <t xml:space="preserve">Percentage </t>
  </si>
  <si>
    <t>Astlim</t>
  </si>
  <si>
    <t>Mu2</t>
  </si>
  <si>
    <t>.=Mu - Mulim</t>
  </si>
  <si>
    <t>Ast2</t>
  </si>
  <si>
    <t>.=Mu2/((0.87*fy)*(d-d'))</t>
  </si>
  <si>
    <t xml:space="preserve">  </t>
  </si>
  <si>
    <t>.=Astlim+Ast2</t>
  </si>
  <si>
    <t>Bar dia</t>
  </si>
  <si>
    <t>Nos</t>
  </si>
  <si>
    <t>Layer 1</t>
  </si>
  <si>
    <t>Layer 2</t>
  </si>
  <si>
    <t>fsc</t>
  </si>
  <si>
    <t>Refer Table F SP 16 pg 13</t>
  </si>
  <si>
    <t>Layer 3</t>
  </si>
  <si>
    <t>-</t>
  </si>
  <si>
    <t>fcc</t>
  </si>
  <si>
    <t>.=0.466*fck</t>
  </si>
  <si>
    <t>Total Steel Provided</t>
  </si>
  <si>
    <t>Asc</t>
  </si>
  <si>
    <t>.=Mu2/((fsc-fcc)*(d-d'))</t>
  </si>
  <si>
    <t>.=0.85% / fy</t>
  </si>
  <si>
    <t>.=(0.85*b*d) / fy</t>
  </si>
  <si>
    <t>.=0.04*b*d)</t>
  </si>
  <si>
    <t>Shear Force (Vu)</t>
  </si>
  <si>
    <t>Shear Calculations</t>
  </si>
  <si>
    <t>.=Vu / (b * d)</t>
  </si>
  <si>
    <t>Refer Table 61 SP 16 pg 179</t>
  </si>
  <si>
    <r>
      <t>or   =(0.85</t>
    </r>
    <r>
      <rPr>
        <i/>
        <sz val="10"/>
        <color indexed="60"/>
        <rFont val="Calibri"/>
        <charset val="1"/>
      </rPr>
      <t>*</t>
    </r>
    <r>
      <rPr>
        <i/>
        <sz val="10"/>
        <color indexed="60"/>
        <rFont val="Calibri"/>
      </rPr>
      <t>√(0.8*fck)*√(1+5</t>
    </r>
    <r>
      <rPr>
        <i/>
        <sz val="10"/>
        <color indexed="60"/>
        <rFont val="Century Gothic"/>
        <family val="2"/>
      </rPr>
      <t>β)</t>
    </r>
    <r>
      <rPr>
        <i/>
        <sz val="10"/>
        <color indexed="60"/>
        <rFont val="Calibri"/>
      </rPr>
      <t>-1)) / (6</t>
    </r>
    <r>
      <rPr>
        <i/>
        <sz val="10"/>
        <color indexed="60"/>
        <rFont val="Century Gothic"/>
        <family val="2"/>
      </rPr>
      <t>β</t>
    </r>
    <r>
      <rPr>
        <i/>
        <sz val="10"/>
        <color indexed="60"/>
        <rFont val="Calibri"/>
      </rPr>
      <t>)</t>
    </r>
  </si>
  <si>
    <t>.=(Ast*100)/(b*d)</t>
  </si>
  <si>
    <t>Refer Table J SP 16 pg 175</t>
  </si>
  <si>
    <t>Pc provided</t>
  </si>
  <si>
    <t>.=(Asc*100)/(b*d)</t>
  </si>
  <si>
    <t>.=(0.8*fck)/(6.89*Pt)</t>
  </si>
  <si>
    <t>Shear Capacity of Concrete (Vs)</t>
  </si>
  <si>
    <t>.=ζc*b*d</t>
  </si>
  <si>
    <t>Shear Stg to be caried by Stirrup (Vus)</t>
  </si>
  <si>
    <t>.=Vu-Vs</t>
  </si>
  <si>
    <t>provide the least of the 4</t>
  </si>
  <si>
    <t>actual req</t>
  </si>
  <si>
    <t>.=(Asv*0.87fy*d)/Vus</t>
  </si>
  <si>
    <t>min</t>
  </si>
  <si>
    <t>.=(Asv*0.87fy)/(b*0.4)</t>
  </si>
  <si>
    <t>max</t>
  </si>
  <si>
    <t>.=0.75d</t>
  </si>
  <si>
    <t>.=300mm</t>
  </si>
  <si>
    <t>Type of stirrup</t>
  </si>
  <si>
    <t xml:space="preserve">Column  </t>
  </si>
  <si>
    <t xml:space="preserve"> All Joint</t>
  </si>
  <si>
    <t>C/C RECTANGLE</t>
  </si>
  <si>
    <t>Beam Category</t>
  </si>
  <si>
    <t>Grids</t>
  </si>
  <si>
    <t>Size of Beam</t>
  </si>
  <si>
    <t xml:space="preserve">           Through Bar</t>
  </si>
  <si>
    <t xml:space="preserve">                      Extra Bar</t>
  </si>
  <si>
    <t>Top</t>
  </si>
  <si>
    <t>Bottom</t>
  </si>
  <si>
    <t>B1</t>
  </si>
  <si>
    <t xml:space="preserve"> All </t>
  </si>
  <si>
    <t>9” X 14”</t>
  </si>
  <si>
    <t>2-16ɸ +1-12ɸ</t>
  </si>
  <si>
    <t>All</t>
  </si>
  <si>
    <t>9” X 12”</t>
  </si>
  <si>
    <t>Slabs</t>
  </si>
  <si>
    <t>Main Bar</t>
  </si>
  <si>
    <t>Distribution Bar</t>
  </si>
  <si>
    <t>All Slab</t>
  </si>
  <si>
    <t>Two-Way</t>
  </si>
  <si>
    <t>14”X14”</t>
  </si>
  <si>
    <t>4-16ɸ + 4-16ɸ</t>
  </si>
  <si>
    <t>Waist Slab</t>
  </si>
  <si>
    <t>Landing Slab</t>
  </si>
  <si>
    <t>Thickness (mm)</t>
  </si>
  <si>
    <t>Provide 4L-8ɸ @ 6” c/c at mid and 4” at End as stirrups for all Columns.</t>
  </si>
  <si>
    <t>Provide 2L-8ɸ @ 6” c/c at mid and 4” at End as stirrups for all Beams.</t>
  </si>
  <si>
    <t>Footing</t>
  </si>
  <si>
    <t>·         Provide 1-10mm bars on each riser as temperature reinforcement.</t>
  </si>
  <si>
    <t xml:space="preserve">Isolated </t>
  </si>
  <si>
    <t>Dimension</t>
  </si>
  <si>
    <t>Length (m)</t>
  </si>
  <si>
    <t>Breadth (m)</t>
  </si>
  <si>
    <t>Plinth Beam</t>
  </si>
  <si>
    <t>Joint</t>
  </si>
  <si>
    <t>Size</t>
  </si>
  <si>
    <t>Shape</t>
  </si>
  <si>
    <t>Reinforcement GF</t>
  </si>
  <si>
    <t>Reinforcement FF + SF</t>
  </si>
  <si>
    <t>Column - C1</t>
  </si>
  <si>
    <t>Strap Footing Design</t>
  </si>
  <si>
    <t>3-16ɸ</t>
  </si>
  <si>
    <t>Story displacement from ETABS ULS</t>
  </si>
  <si>
    <t>Story displacement from ETABS SLS</t>
  </si>
  <si>
    <t>Drift Criteria for the Equivalent Static Method</t>
  </si>
  <si>
    <t>Story drift from ETABS SLS</t>
  </si>
  <si>
    <t>Spacing of Column</t>
  </si>
  <si>
    <t>L1 +  L2</t>
  </si>
  <si>
    <t>Length of Eccentric Footing L1</t>
  </si>
  <si>
    <t>Bays number (Along_X)</t>
  </si>
  <si>
    <t>Bays number (Along_Y)</t>
  </si>
  <si>
    <t>Bays_AlongX</t>
  </si>
  <si>
    <t>Bays_AlongY</t>
  </si>
  <si>
    <t>Building Breadth (Along_Y)</t>
  </si>
  <si>
    <t>Story number (Along_Z)</t>
  </si>
  <si>
    <t>Building Height (Along_Z)</t>
  </si>
  <si>
    <t>ABC Construction Pvt Ltd</t>
  </si>
  <si>
    <t>Lamachaur</t>
  </si>
  <si>
    <t>Image Extractions</t>
  </si>
  <si>
    <t>Data Processing</t>
  </si>
  <si>
    <t>Data Writer</t>
  </si>
  <si>
    <t>Running Row</t>
  </si>
  <si>
    <t>Plan Area</t>
  </si>
  <si>
    <t>m^2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</si>
</sst>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1">
    <numFmt numFmtId="164" formatCode="0.000"/>
    <numFmt numFmtId="165" formatCode="0\ &quot;sqmm&quot;"/>
    <numFmt numFmtId="166" formatCode="0\ &quot;KN-m&quot;"/>
    <numFmt numFmtId="167" formatCode="0\ &quot;KN/m&quot;"/>
    <numFmt numFmtId="168" formatCode="0\ &quot;MPa&quot;"/>
    <numFmt numFmtId="169" formatCode="0\ &quot;KN&quot;"/>
    <numFmt numFmtId="170" formatCode="0\ &quot;mm&quot;"/>
    <numFmt numFmtId="171" formatCode="0\ &quot;c/c&quot;"/>
    <numFmt numFmtId="172" formatCode="0.00\ &quot;mm&quot;"/>
    <numFmt numFmtId="173" formatCode="0.00\ &quot;meters&quot;"/>
    <numFmt numFmtId="174" formatCode="0.00\ &quot;KN/m&quot;"/>
    <numFmt numFmtId="175" formatCode="&quot;Bending Moment =&quot;\ 0\ &quot;KN-m&quot;"/>
    <numFmt numFmtId="176" formatCode="\ 0\ &quot;KN-m&quot;"/>
    <numFmt numFmtId="177" formatCode="0.0000"/>
    <numFmt numFmtId="178" formatCode="0.00\ &quot;m&quot;"/>
    <numFmt numFmtId="179" formatCode="&quot;@&quot;\ 0\ &quot;mm&quot;\ &quot;c/c&quot;"/>
    <numFmt numFmtId="180" formatCode="0\ &quot;mm dia&quot;"/>
    <numFmt numFmtId="181" formatCode="0.000\ &quot;MPa&quot;"/>
    <numFmt numFmtId="182" formatCode="0\ &quot;KNm2&quot;"/>
    <numFmt numFmtId="183" formatCode="0.00\ &quot;sqmm&quot;"/>
    <numFmt numFmtId="184" formatCode="0\ &quot;meters&quot;"/>
    <numFmt numFmtId="185" formatCode="0.000\ &quot;KN/m&quot;"/>
    <numFmt numFmtId="186" formatCode="0.0\ &quot;KN/m&quot;"/>
    <numFmt numFmtId="187" formatCode="[$-409]dd\-mmm\-yy;@"/>
    <numFmt numFmtId="188" formatCode="0\ &quot;KN/sqm&quot;"/>
    <numFmt numFmtId="189" formatCode="&quot;to be used as UDL =&quot;\ 0\ &quot;KN&quot;"/>
    <numFmt numFmtId="190" formatCode="0.000\ &quot;mm&quot;"/>
    <numFmt numFmtId="191" formatCode="0.0"/>
    <numFmt numFmtId="192" formatCode="0.00&quot;%&quot;"/>
    <numFmt numFmtId="193" formatCode="0&quot;-&quot;"/>
    <numFmt numFmtId="194" formatCode="0&quot;#&quot;"/>
    <numFmt numFmtId="195" formatCode="dd\-mmm\-yy;@"/>
    <numFmt numFmtId="196" formatCode="0&quot; mm&quot;"/>
    <numFmt numFmtId="197" formatCode="0&quot; MPa&quot;"/>
    <numFmt numFmtId="198" formatCode="0&quot; KN-m&quot;"/>
    <numFmt numFmtId="199" formatCode="0.000&quot; %&quot;"/>
    <numFmt numFmtId="200" formatCode="0&quot; sqmm&quot;"/>
    <numFmt numFmtId="201" formatCode="0&quot; KN&quot;"/>
    <numFmt numFmtId="202" formatCode="0&quot; legged&quot;"/>
    <numFmt numFmtId="203" formatCode="0&quot; c/c&quot;"/>
    <numFmt numFmtId="204" formatCode="&quot;                 &quot;\ 0.00\ &quot;m&quot;"/>
  </numFmts>
  <fonts count="92" x14ac:knownFonts="1">
    <font>
      <sz val="10"/>
      <name val="Arial"/>
    </font>
    <font>
      <sz val="11"/>
      <color indexed="8"/>
      <name val="Calibri"/>
      <family val="2"/>
    </font>
    <font>
      <sz val="10"/>
      <name val="Arial"/>
      <family val="2"/>
    </font>
    <font>
      <sz val="8"/>
      <name val="Arial"/>
      <family val="2"/>
    </font>
    <font>
      <sz val="10"/>
      <color indexed="10"/>
      <name val="Arial"/>
      <family val="2"/>
    </font>
    <font>
      <sz val="10"/>
      <color indexed="12"/>
      <name val="Arial"/>
      <family val="2"/>
    </font>
    <font>
      <b/>
      <sz val="10"/>
      <name val="Arial"/>
      <family val="2"/>
    </font>
    <font>
      <sz val="12"/>
      <name val="Arial"/>
      <family val="2"/>
    </font>
    <font>
      <sz val="8"/>
      <color indexed="81"/>
      <name val="Tahoma"/>
      <family val="2"/>
    </font>
    <font>
      <b/>
      <sz val="8"/>
      <color indexed="81"/>
      <name val="Tahoma"/>
      <family val="2"/>
    </font>
    <font>
      <b/>
      <sz val="8"/>
      <color indexed="81"/>
      <name val="Arial"/>
      <family val="2"/>
    </font>
    <font>
      <b/>
      <sz val="12"/>
      <color indexed="81"/>
      <name val="Arial"/>
      <family val="2"/>
    </font>
    <font>
      <b/>
      <sz val="10"/>
      <color indexed="81"/>
      <name val="Arial"/>
      <family val="2"/>
    </font>
    <font>
      <sz val="10"/>
      <name val="Arial"/>
      <family val="2"/>
    </font>
    <font>
      <sz val="10"/>
      <color indexed="12"/>
      <name val="Arial"/>
      <family val="2"/>
    </font>
    <font>
      <b/>
      <sz val="10"/>
      <color indexed="12"/>
      <name val="Arial"/>
      <family val="2"/>
    </font>
    <font>
      <b/>
      <sz val="12"/>
      <color indexed="20"/>
      <name val="Arial"/>
      <family val="2"/>
    </font>
    <font>
      <i/>
      <sz val="10"/>
      <name val="Arial"/>
      <family val="2"/>
    </font>
    <font>
      <sz val="10"/>
      <color indexed="9"/>
      <name val="Arial"/>
      <family val="2"/>
    </font>
    <font>
      <sz val="10"/>
      <name val="Arial"/>
      <family val="2"/>
    </font>
    <font>
      <sz val="10"/>
      <name val="Times New Roman"/>
      <family val="1"/>
    </font>
    <font>
      <b/>
      <sz val="12"/>
      <color indexed="20"/>
      <name val="Times New Roman"/>
      <family val="1"/>
    </font>
    <font>
      <u/>
      <sz val="11"/>
      <name val="Times New Roman"/>
      <family val="1"/>
    </font>
    <font>
      <sz val="11"/>
      <name val="Times New Roman"/>
      <family val="1"/>
    </font>
    <font>
      <sz val="10"/>
      <color indexed="10"/>
      <name val="Times New Roman"/>
      <family val="1"/>
    </font>
    <font>
      <b/>
      <sz val="10"/>
      <name val="Times New Roman"/>
      <family val="1"/>
    </font>
    <font>
      <u/>
      <sz val="10"/>
      <name val="Times New Roman"/>
      <family val="1"/>
    </font>
    <font>
      <sz val="10"/>
      <color indexed="12"/>
      <name val="Times New Roman"/>
      <family val="1"/>
    </font>
    <font>
      <i/>
      <sz val="9"/>
      <color indexed="60"/>
      <name val="Times New Roman"/>
      <family val="1"/>
    </font>
    <font>
      <i/>
      <sz val="10"/>
      <name val="Times New Roman"/>
      <family val="1"/>
    </font>
    <font>
      <i/>
      <vertAlign val="superscript"/>
      <sz val="10"/>
      <name val="Times New Roman"/>
      <family val="1"/>
    </font>
    <font>
      <vertAlign val="superscript"/>
      <sz val="10"/>
      <name val="Times New Roman"/>
      <family val="1"/>
    </font>
    <font>
      <sz val="16"/>
      <color indexed="12"/>
      <name val="Times New Roman"/>
      <family val="1"/>
    </font>
    <font>
      <sz val="12"/>
      <name val="Times New Roman"/>
      <family val="1"/>
    </font>
    <font>
      <vertAlign val="subscript"/>
      <sz val="10"/>
      <name val="Times New Roman"/>
      <family val="1"/>
    </font>
    <font>
      <b/>
      <sz val="10"/>
      <color indexed="12"/>
      <name val="Times New Roman"/>
      <family val="1"/>
    </font>
    <font>
      <i/>
      <vertAlign val="superscript"/>
      <sz val="9"/>
      <color indexed="60"/>
      <name val="Times New Roman"/>
      <family val="1"/>
    </font>
    <font>
      <sz val="9"/>
      <color indexed="60"/>
      <name val="Times New Roman"/>
      <family val="1"/>
    </font>
    <font>
      <sz val="10"/>
      <color indexed="17"/>
      <name val="Times New Roman"/>
      <family val="1"/>
    </font>
    <font>
      <sz val="11"/>
      <color indexed="8"/>
      <name val="Times New Roman"/>
      <family val="1"/>
    </font>
    <font>
      <sz val="10"/>
      <color indexed="8"/>
      <name val="Times New Roman"/>
      <family val="1"/>
    </font>
    <font>
      <b/>
      <i/>
      <sz val="10"/>
      <name val="Times New Roman"/>
      <family val="1"/>
    </font>
    <font>
      <b/>
      <sz val="12"/>
      <name val="Times New Roman"/>
      <family val="1"/>
    </font>
    <font>
      <sz val="10"/>
      <color indexed="39"/>
      <name val="Times New Roman"/>
      <family val="1"/>
    </font>
    <font>
      <b/>
      <sz val="10"/>
      <color indexed="10"/>
      <name val="Times New Roman"/>
      <family val="1"/>
    </font>
    <font>
      <b/>
      <sz val="10"/>
      <color indexed="49"/>
      <name val="Times New Roman"/>
      <family val="1"/>
    </font>
    <font>
      <sz val="8"/>
      <name val="Times New Roman"/>
      <family val="1"/>
    </font>
    <font>
      <b/>
      <sz val="10"/>
      <color indexed="39"/>
      <name val="Times New Roman"/>
      <family val="1"/>
    </font>
    <font>
      <sz val="10"/>
      <color indexed="22"/>
      <name val="Times New Roman"/>
      <family val="1"/>
    </font>
    <font>
      <sz val="11"/>
      <color theme="1"/>
      <name val="Calibri"/>
      <family val="2"/>
      <scheme val="minor"/>
    </font>
    <font>
      <sz val="11"/>
      <color theme="1"/>
      <name val="Times New Roman"/>
      <family val="1"/>
    </font>
    <font>
      <sz val="10"/>
      <color theme="1"/>
      <name val="Times New Roman"/>
      <family val="1"/>
    </font>
    <font>
      <b/>
      <sz val="12"/>
      <color theme="1"/>
      <name val="Times New Roman"/>
      <family val="1"/>
    </font>
    <font>
      <b/>
      <sz val="12"/>
      <color theme="1"/>
      <name val="Arial"/>
      <family val="2"/>
    </font>
    <font>
      <sz val="12"/>
      <color theme="1"/>
      <name val="Times New Roman"/>
      <family val="1"/>
    </font>
    <font>
      <b/>
      <i/>
      <u/>
      <sz val="12"/>
      <color theme="1"/>
      <name val="Times New Roman"/>
      <family val="1"/>
    </font>
    <font>
      <vertAlign val="subscript"/>
      <sz val="12"/>
      <color theme="1"/>
      <name val="Times New Roman"/>
      <family val="1"/>
    </font>
    <font>
      <vertAlign val="superscript"/>
      <sz val="12"/>
      <color theme="1"/>
      <name val="Times New Roman"/>
      <family val="1"/>
    </font>
    <font>
      <b/>
      <vertAlign val="subscript"/>
      <sz val="12"/>
      <color theme="1"/>
      <name val="Times New Roman"/>
      <family val="1"/>
    </font>
    <font>
      <i/>
      <u/>
      <sz val="12"/>
      <color theme="1"/>
      <name val="Times New Roman"/>
      <family val="1"/>
    </font>
    <font>
      <vertAlign val="subscript"/>
      <sz val="12"/>
      <color theme="1"/>
      <name val="Calibri"/>
      <family val="2"/>
    </font>
    <font>
      <sz val="12"/>
      <color rgb="FFFF0000"/>
      <name val="Times New Roman"/>
      <family val="1"/>
    </font>
    <font>
      <b/>
      <sz val="18"/>
      <name val="Times New Roman"/>
      <family val="1"/>
    </font>
    <font>
      <vertAlign val="superscript"/>
      <sz val="10"/>
      <name val="Arial"/>
      <family val="2"/>
    </font>
    <font>
      <sz val="10"/>
      <color indexed="17"/>
      <name val="Arial"/>
      <family val="2"/>
    </font>
    <font>
      <sz val="10"/>
      <color indexed="8"/>
      <name val="Arial"/>
      <family val="2"/>
    </font>
    <font>
      <sz val="16"/>
      <color indexed="10"/>
      <name val="Arial Black"/>
      <family val="2"/>
    </font>
    <font>
      <sz val="16"/>
      <color indexed="17"/>
      <name val="Arial Black"/>
      <family val="2"/>
    </font>
    <font>
      <sz val="16"/>
      <color indexed="12"/>
      <name val="Arial Black"/>
      <family val="2"/>
    </font>
    <font>
      <sz val="16"/>
      <color indexed="57"/>
      <name val="Arial"/>
      <family val="2"/>
    </font>
    <font>
      <b/>
      <i/>
      <sz val="10"/>
      <name val="Arial"/>
      <family val="2"/>
    </font>
    <font>
      <i/>
      <sz val="9"/>
      <color indexed="60"/>
      <name val="Arial"/>
      <family val="2"/>
    </font>
    <font>
      <b/>
      <sz val="10"/>
      <color indexed="10"/>
      <name val="Arial"/>
      <family val="2"/>
    </font>
    <font>
      <i/>
      <vertAlign val="superscript"/>
      <sz val="10"/>
      <name val="Arial"/>
      <family val="2"/>
    </font>
    <font>
      <i/>
      <sz val="10"/>
      <color indexed="17"/>
      <name val="Arial"/>
      <family val="2"/>
    </font>
    <font>
      <sz val="10"/>
      <name val="Calibri"/>
      <charset val="1"/>
    </font>
    <font>
      <sz val="10"/>
      <name val="Calibri"/>
    </font>
    <font>
      <vertAlign val="superscript"/>
      <sz val="10"/>
      <name val="Calibri"/>
    </font>
    <font>
      <sz val="9"/>
      <color indexed="12"/>
      <name val="Arial"/>
      <family val="2"/>
    </font>
    <font>
      <b/>
      <sz val="10"/>
      <color rgb="FF0000FF"/>
      <name val="Arial"/>
      <family val="2"/>
    </font>
    <font>
      <sz val="10"/>
      <color indexed="22"/>
      <name val="Arial"/>
      <family val="2"/>
    </font>
    <font>
      <i/>
      <sz val="10"/>
      <color indexed="60"/>
      <name val="Calibri"/>
      <charset val="1"/>
    </font>
    <font>
      <i/>
      <sz val="10"/>
      <color indexed="60"/>
      <name val="Calibri"/>
    </font>
    <font>
      <i/>
      <sz val="10"/>
      <color indexed="60"/>
      <name val="Century Gothic"/>
      <family val="2"/>
    </font>
    <font>
      <b/>
      <sz val="11"/>
      <name val="Times New Roman"/>
      <family val="1"/>
    </font>
    <font>
      <b/>
      <sz val="14"/>
      <name val="Times New Roman"/>
      <family val="1"/>
    </font>
    <font>
      <sz val="11"/>
      <name val="Arial"/>
      <family val="2"/>
    </font>
    <font>
      <b/>
      <sz val="11"/>
      <name val="Arial"/>
      <family val="2"/>
    </font>
    <font>
      <sz val="12"/>
      <color theme="1"/>
      <name val="Calibri"/>
      <family val="2"/>
    </font>
    <font>
      <sz val="14"/>
      <name val="Times New Roman"/>
      <family val="1"/>
    </font>
    <font>
      <b/>
      <sz val="20"/>
      <name val="Times New Roman"/>
      <family val="1"/>
    </font>
    <font>
      <b/>
      <sz val="11"/>
      <color theme="1"/>
      <name val="Times New Roman"/>
      <family val="1"/>
    </font>
  </fonts>
  <fills count="14">
    <fill>
      <patternFill patternType="none"/>
    </fill>
    <fill>
      <patternFill patternType="gray125"/>
    </fill>
    <fill>
      <patternFill patternType="solid">
        <fgColor indexed="9"/>
        <bgColor indexed="64"/>
      </patternFill>
    </fill>
    <fill>
      <patternFill patternType="solid">
        <fgColor indexed="9"/>
        <bgColor indexed="26"/>
      </patternFill>
    </fill>
    <fill>
      <patternFill patternType="solid">
        <fgColor theme="7" tint="0.79998168889431442"/>
        <bgColor indexed="64"/>
      </patternFill>
    </fill>
    <fill>
      <patternFill patternType="solid">
        <fgColor rgb="FFFFFF00"/>
        <bgColor indexed="64"/>
      </patternFill>
    </fill>
    <fill>
      <patternFill patternType="solid">
        <fgColor rgb="FFFF66CC"/>
        <bgColor indexed="64"/>
      </patternFill>
    </fill>
    <fill>
      <patternFill patternType="solid">
        <fgColor rgb="FF66CCFF"/>
        <bgColor indexed="64"/>
      </patternFill>
    </fill>
    <fill>
      <patternFill patternType="solid">
        <fgColor theme="2"/>
        <bgColor indexed="64"/>
      </patternFill>
    </fill>
    <fill>
      <patternFill patternType="solid">
        <fgColor rgb="FFFF6699"/>
        <bgColor indexed="64"/>
      </patternFill>
    </fill>
    <fill>
      <patternFill patternType="solid">
        <fgColor rgb="FF00B050"/>
        <bgColor indexed="64"/>
      </patternFill>
    </fill>
    <fill>
      <patternFill patternType="solid">
        <fgColor indexed="22"/>
        <bgColor indexed="64"/>
      </patternFill>
    </fill>
    <fill>
      <patternFill patternType="solid">
        <fgColor theme="8" tint="0.59999389629810485"/>
        <bgColor indexed="64"/>
      </patternFill>
    </fill>
    <fill>
      <patternFill patternType="solid">
        <fgColor rgb="FF54DEB3"/>
        <bgColor indexed="64"/>
      </patternFill>
    </fill>
  </fills>
  <borders count="63">
    <border>
      <left/>
      <right/>
      <top/>
      <bottom/>
      <diagonal/>
    </border>
    <border>
      <left/>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right style="thin">
        <color indexed="64"/>
      </right>
      <top style="thin">
        <color indexed="64"/>
      </top>
      <bottom style="thin">
        <color indexed="64"/>
      </bottom>
      <diagonal/>
    </border>
    <border>
      <left style="thin">
        <color indexed="64"/>
      </left>
      <right style="thick">
        <color rgb="FFFF0000"/>
      </right>
      <top/>
      <bottom/>
      <diagonal/>
    </border>
    <border>
      <left style="thick">
        <color rgb="FFFF0000"/>
      </left>
      <right/>
      <top/>
      <bottom style="thick">
        <color rgb="FFFF0000"/>
      </bottom>
      <diagonal/>
    </border>
    <border>
      <left/>
      <right/>
      <top/>
      <bottom style="thick">
        <color rgb="FFFF0000"/>
      </bottom>
      <diagonal/>
    </border>
    <border>
      <left/>
      <right style="thick">
        <color rgb="FFFF0000"/>
      </right>
      <top/>
      <bottom/>
      <diagonal/>
    </border>
    <border>
      <left/>
      <right style="thick">
        <color rgb="FFFF0000"/>
      </right>
      <top/>
      <bottom style="thick">
        <color rgb="FFFF0000"/>
      </bottom>
      <diagonal/>
    </border>
    <border>
      <left/>
      <right/>
      <top style="thick">
        <color rgb="FFFF0000"/>
      </top>
      <bottom/>
      <diagonal/>
    </border>
    <border>
      <left/>
      <right style="thick">
        <color rgb="FFFF0000"/>
      </right>
      <top style="thick">
        <color rgb="FFFF0000"/>
      </top>
      <bottom/>
      <diagonal/>
    </border>
    <border>
      <left style="medium">
        <color rgb="FFFF0000"/>
      </left>
      <right/>
      <top style="medium">
        <color rgb="FFFF0000"/>
      </top>
      <bottom style="medium">
        <color rgb="FFFF0000"/>
      </bottom>
      <diagonal/>
    </border>
    <border>
      <left/>
      <right/>
      <top style="medium">
        <color rgb="FFFF0000"/>
      </top>
      <bottom style="medium">
        <color rgb="FFFF0000"/>
      </bottom>
      <diagonal/>
    </border>
    <border>
      <left style="thick">
        <color rgb="FFFF0000"/>
      </left>
      <right/>
      <top style="medium">
        <color rgb="FFFF0000"/>
      </top>
      <bottom style="medium">
        <color rgb="FFFF0000"/>
      </bottom>
      <diagonal/>
    </border>
    <border>
      <left style="thick">
        <color rgb="FFFF0000"/>
      </left>
      <right style="medium">
        <color rgb="FFFF0000"/>
      </right>
      <top style="medium">
        <color rgb="FFFF0000"/>
      </top>
      <bottom style="medium">
        <color rgb="FFFF0000"/>
      </bottom>
      <diagonal/>
    </border>
    <border>
      <left style="thin">
        <color indexed="8"/>
      </left>
      <right style="thin">
        <color indexed="8"/>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style="thin">
        <color indexed="8"/>
      </left>
      <right/>
      <top/>
      <bottom/>
      <diagonal/>
    </border>
    <border>
      <left/>
      <right style="thin">
        <color indexed="8"/>
      </right>
      <top/>
      <bottom/>
      <diagonal/>
    </border>
    <border>
      <left style="thin">
        <color indexed="8"/>
      </left>
      <right/>
      <top/>
      <bottom style="thin">
        <color indexed="8"/>
      </bottom>
      <diagonal/>
    </border>
    <border>
      <left/>
      <right/>
      <top style="thin">
        <color indexed="8"/>
      </top>
      <bottom style="thin">
        <color indexed="8"/>
      </bottom>
      <diagonal/>
    </border>
    <border>
      <left/>
      <right/>
      <top/>
      <bottom style="thin">
        <color indexed="8"/>
      </bottom>
      <diagonal/>
    </border>
    <border>
      <left/>
      <right style="thin">
        <color indexed="8"/>
      </right>
      <top/>
      <bottom style="thin">
        <color indexed="8"/>
      </bottom>
      <diagonal/>
    </border>
    <border>
      <left/>
      <right style="thin">
        <color indexed="64"/>
      </right>
      <top style="thin">
        <color indexed="8"/>
      </top>
      <bottom/>
      <diagonal/>
    </border>
    <border>
      <left/>
      <right style="thin">
        <color indexed="64"/>
      </right>
      <top/>
      <bottom style="thin">
        <color indexed="8"/>
      </bottom>
      <diagonal/>
    </border>
    <border>
      <left style="thin">
        <color auto="1"/>
      </left>
      <right style="thin">
        <color auto="1"/>
      </right>
      <top style="thin">
        <color auto="1"/>
      </top>
      <bottom style="thin">
        <color auto="1"/>
      </bottom>
      <diagonal/>
    </border>
    <border>
      <left style="medium">
        <color rgb="FFFF0000"/>
      </left>
      <right style="medium">
        <color rgb="FFFF0000"/>
      </right>
      <top style="medium">
        <color rgb="FFFF0000"/>
      </top>
      <bottom style="medium">
        <color rgb="FFFF0000"/>
      </bottom>
      <diagonal/>
    </border>
    <border>
      <left/>
      <right style="medium">
        <color rgb="FFFF0000"/>
      </right>
      <top style="medium">
        <color rgb="FFFF0000"/>
      </top>
      <bottom style="medium">
        <color rgb="FFFF0000"/>
      </bottom>
      <diagonal/>
    </border>
    <border>
      <left style="medium">
        <color rgb="FFFF0000"/>
      </left>
      <right style="medium">
        <color rgb="FFFF0000"/>
      </right>
      <top style="medium">
        <color rgb="FFFF0000"/>
      </top>
      <bottom/>
      <diagonal/>
    </border>
    <border>
      <left/>
      <right style="medium">
        <color rgb="FFFF0000"/>
      </right>
      <top/>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top/>
      <bottom style="medium">
        <color rgb="FFFF0000"/>
      </bottom>
      <diagonal/>
    </border>
    <border>
      <left/>
      <right style="medium">
        <color rgb="FFFF0000"/>
      </right>
      <top/>
      <bottom style="medium">
        <color rgb="FFFF0000"/>
      </bottom>
      <diagonal/>
    </border>
    <border>
      <left/>
      <right style="thin">
        <color indexed="64"/>
      </right>
      <top style="medium">
        <color rgb="FFFF0000"/>
      </top>
      <bottom style="medium">
        <color rgb="FFFF0000"/>
      </bottom>
      <diagonal/>
    </border>
    <border>
      <left style="thin">
        <color indexed="64"/>
      </left>
      <right style="thin">
        <color indexed="64"/>
      </right>
      <top style="medium">
        <color rgb="FFFF0000"/>
      </top>
      <bottom style="medium">
        <color rgb="FFFF0000"/>
      </bottom>
      <diagonal/>
    </border>
    <border>
      <left style="thin">
        <color indexed="64"/>
      </left>
      <right style="medium">
        <color rgb="FFFF0000"/>
      </right>
      <top style="medium">
        <color rgb="FFFF0000"/>
      </top>
      <bottom style="medium">
        <color rgb="FFFF0000"/>
      </bottom>
      <diagonal/>
    </border>
    <border>
      <left style="medium">
        <color rgb="FFFF0000"/>
      </left>
      <right style="medium">
        <color rgb="FFFF0000"/>
      </right>
      <top/>
      <bottom style="thin">
        <color indexed="64"/>
      </bottom>
      <diagonal/>
    </border>
    <border>
      <left style="thin">
        <color indexed="64"/>
      </left>
      <right style="medium">
        <color rgb="FFFF0000"/>
      </right>
      <top/>
      <bottom style="thin">
        <color indexed="64"/>
      </bottom>
      <diagonal/>
    </border>
    <border>
      <left/>
      <right style="thin">
        <color indexed="64"/>
      </right>
      <top style="thin">
        <color indexed="64"/>
      </top>
      <bottom style="thin">
        <color indexed="64"/>
      </bottom>
      <diagonal/>
    </border>
    <border>
      <left style="thin">
        <color indexed="64"/>
      </left>
      <right style="medium">
        <color rgb="FFFF0000"/>
      </right>
      <top style="thin">
        <color indexed="64"/>
      </top>
      <bottom style="thin">
        <color indexed="64"/>
      </bottom>
      <diagonal/>
    </border>
    <border>
      <left style="medium">
        <color rgb="FFFF0000"/>
      </left>
      <right style="medium">
        <color rgb="FFFF0000"/>
      </right>
      <top style="thin">
        <color indexed="64"/>
      </top>
      <bottom style="thin">
        <color indexed="64"/>
      </bottom>
      <diagonal/>
    </border>
    <border>
      <left/>
      <right style="thin">
        <color indexed="64"/>
      </right>
      <top style="thin">
        <color indexed="64"/>
      </top>
      <bottom style="medium">
        <color rgb="FFFF0000"/>
      </bottom>
      <diagonal/>
    </border>
    <border>
      <left style="thin">
        <color indexed="64"/>
      </left>
      <right style="thin">
        <color indexed="64"/>
      </right>
      <top style="thin">
        <color indexed="64"/>
      </top>
      <bottom style="medium">
        <color rgb="FFFF0000"/>
      </bottom>
      <diagonal/>
    </border>
    <border>
      <left style="thin">
        <color indexed="64"/>
      </left>
      <right style="medium">
        <color rgb="FFFF0000"/>
      </right>
      <top style="thin">
        <color indexed="64"/>
      </top>
      <bottom style="medium">
        <color rgb="FFFF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0">
    <xf numFmtId="0" fontId="0" fillId="0" borderId="0"/>
    <xf numFmtId="0" fontId="18" fillId="0" borderId="0" applyNumberFormat="0" applyFill="0" applyBorder="0" applyAlignment="0" applyProtection="0"/>
    <xf numFmtId="0" fontId="2" fillId="0" borderId="0"/>
    <xf numFmtId="9" fontId="2" fillId="0" borderId="0"/>
    <xf numFmtId="0" fontId="49" fillId="0" borderId="0"/>
    <xf numFmtId="0" fontId="2" fillId="0" borderId="0"/>
    <xf numFmtId="0" fontId="2" fillId="0" borderId="0"/>
    <xf numFmtId="0" fontId="49" fillId="0" borderId="0"/>
    <xf numFmtId="0" fontId="2" fillId="0" borderId="0"/>
    <xf numFmtId="0" fontId="19" fillId="0" borderId="0"/>
  </cellStyleXfs>
  <cellXfs count="677">
    <xf numFmtId="0" fontId="0" fillId="0" borderId="0" xfId="0"/>
    <xf numFmtId="0" fontId="0" fillId="0" borderId="0" xfId="0" quotePrefix="1"/>
    <xf numFmtId="0" fontId="0" fillId="0" borderId="0" xfId="0" quotePrefix="1" applyAlignment="1">
      <alignment horizontal="center"/>
    </xf>
    <xf numFmtId="0" fontId="0" fillId="2" borderId="0" xfId="0" applyFill="1" applyAlignment="1">
      <alignment horizontal="left"/>
    </xf>
    <xf numFmtId="0" fontId="0" fillId="2" borderId="0" xfId="0" applyFill="1" applyAlignment="1">
      <alignment horizontal="center"/>
    </xf>
    <xf numFmtId="0" fontId="0" fillId="2" borderId="1" xfId="0" applyFill="1" applyBorder="1" applyAlignment="1">
      <alignment horizontal="center"/>
    </xf>
    <xf numFmtId="0" fontId="6" fillId="2" borderId="0" xfId="0" applyFont="1" applyFill="1" applyAlignment="1">
      <alignment horizontal="left"/>
    </xf>
    <xf numFmtId="0" fontId="0" fillId="2" borderId="0" xfId="0" applyFill="1"/>
    <xf numFmtId="0" fontId="0" fillId="2" borderId="2" xfId="0" applyFill="1" applyBorder="1"/>
    <xf numFmtId="0" fontId="0" fillId="2" borderId="3" xfId="0" applyFill="1" applyBorder="1"/>
    <xf numFmtId="0" fontId="0" fillId="2" borderId="1" xfId="0" applyFill="1" applyBorder="1"/>
    <xf numFmtId="0" fontId="0" fillId="2" borderId="0" xfId="0" applyFill="1" applyAlignment="1">
      <alignment horizontal="right"/>
    </xf>
    <xf numFmtId="0" fontId="2" fillId="2" borderId="0" xfId="0" applyFont="1" applyFill="1" applyAlignment="1">
      <alignment horizontal="left"/>
    </xf>
    <xf numFmtId="0" fontId="5" fillId="2" borderId="0" xfId="0" applyFont="1" applyFill="1" applyAlignment="1">
      <alignment horizontal="right"/>
    </xf>
    <xf numFmtId="0" fontId="0" fillId="2" borderId="4" xfId="0" applyFill="1" applyBorder="1"/>
    <xf numFmtId="171" fontId="14" fillId="2" borderId="0" xfId="0" applyNumberFormat="1" applyFont="1" applyFill="1" applyAlignment="1">
      <alignment horizontal="center"/>
    </xf>
    <xf numFmtId="0" fontId="13" fillId="2" borderId="1" xfId="0" applyFont="1" applyFill="1" applyBorder="1" applyAlignment="1">
      <alignment horizontal="center"/>
    </xf>
    <xf numFmtId="170" fontId="4" fillId="2" borderId="5" xfId="0" applyNumberFormat="1" applyFont="1" applyFill="1" applyBorder="1" applyAlignment="1">
      <alignment horizontal="center"/>
    </xf>
    <xf numFmtId="168" fontId="4" fillId="2" borderId="5" xfId="0" applyNumberFormat="1" applyFont="1" applyFill="1" applyBorder="1" applyAlignment="1">
      <alignment horizontal="center"/>
    </xf>
    <xf numFmtId="0" fontId="16" fillId="2" borderId="0" xfId="0" applyFont="1" applyFill="1" applyAlignment="1">
      <alignment horizontal="center"/>
    </xf>
    <xf numFmtId="169" fontId="4" fillId="2" borderId="0" xfId="0" applyNumberFormat="1" applyFont="1" applyFill="1" applyAlignment="1">
      <alignment horizontal="center"/>
    </xf>
    <xf numFmtId="170" fontId="5" fillId="2" borderId="0" xfId="0" applyNumberFormat="1" applyFont="1" applyFill="1" applyAlignment="1">
      <alignment horizontal="center"/>
    </xf>
    <xf numFmtId="174" fontId="5" fillId="2" borderId="0" xfId="0" applyNumberFormat="1" applyFont="1" applyFill="1" applyAlignment="1">
      <alignment horizontal="center"/>
    </xf>
    <xf numFmtId="0" fontId="2" fillId="2" borderId="6" xfId="0" applyFont="1" applyFill="1" applyBorder="1" applyAlignment="1">
      <alignment horizontal="right"/>
    </xf>
    <xf numFmtId="174" fontId="5" fillId="2" borderId="6" xfId="0" applyNumberFormat="1" applyFont="1" applyFill="1" applyBorder="1" applyAlignment="1">
      <alignment horizontal="center"/>
    </xf>
    <xf numFmtId="0" fontId="6" fillId="2" borderId="0" xfId="0" applyFont="1" applyFill="1" applyAlignment="1">
      <alignment horizontal="right"/>
    </xf>
    <xf numFmtId="174" fontId="15" fillId="2" borderId="0" xfId="0" applyNumberFormat="1" applyFont="1" applyFill="1" applyAlignment="1">
      <alignment horizontal="center"/>
    </xf>
    <xf numFmtId="172" fontId="4" fillId="2" borderId="5" xfId="0" applyNumberFormat="1" applyFont="1" applyFill="1" applyBorder="1" applyAlignment="1">
      <alignment horizontal="center"/>
    </xf>
    <xf numFmtId="174" fontId="4" fillId="2" borderId="5" xfId="0" applyNumberFormat="1" applyFont="1" applyFill="1" applyBorder="1" applyAlignment="1">
      <alignment horizontal="center"/>
    </xf>
    <xf numFmtId="165" fontId="15" fillId="2" borderId="0" xfId="0" applyNumberFormat="1" applyFont="1" applyFill="1" applyAlignment="1">
      <alignment horizontal="right"/>
    </xf>
    <xf numFmtId="0" fontId="17" fillId="2" borderId="0" xfId="0" applyFont="1" applyFill="1" applyAlignment="1">
      <alignment horizontal="right"/>
    </xf>
    <xf numFmtId="0" fontId="6" fillId="2" borderId="0" xfId="0" applyFont="1" applyFill="1"/>
    <xf numFmtId="0" fontId="0" fillId="2" borderId="0" xfId="0" applyFill="1" applyAlignment="1">
      <alignment vertical="justify"/>
    </xf>
    <xf numFmtId="0" fontId="0" fillId="2" borderId="7" xfId="0" applyFill="1" applyBorder="1"/>
    <xf numFmtId="0" fontId="0" fillId="2" borderId="8" xfId="0" applyFill="1" applyBorder="1"/>
    <xf numFmtId="0" fontId="16" fillId="2" borderId="0" xfId="0" applyFont="1" applyFill="1"/>
    <xf numFmtId="0" fontId="16" fillId="2" borderId="9" xfId="0" applyFont="1" applyFill="1" applyBorder="1" applyAlignment="1">
      <alignment horizontal="center"/>
    </xf>
    <xf numFmtId="0" fontId="16" fillId="2" borderId="10" xfId="0" applyFont="1" applyFill="1" applyBorder="1" applyAlignment="1">
      <alignment horizontal="center"/>
    </xf>
    <xf numFmtId="0" fontId="0" fillId="2" borderId="7" xfId="0" applyFill="1" applyBorder="1" applyAlignment="1">
      <alignment vertical="justify"/>
    </xf>
    <xf numFmtId="175" fontId="5" fillId="2" borderId="0" xfId="0" applyNumberFormat="1" applyFont="1" applyFill="1" applyAlignment="1">
      <alignment horizontal="left"/>
    </xf>
    <xf numFmtId="176" fontId="4" fillId="2" borderId="0" xfId="0" applyNumberFormat="1" applyFont="1" applyFill="1" applyAlignment="1">
      <alignment horizontal="left"/>
    </xf>
    <xf numFmtId="0" fontId="17" fillId="2" borderId="1" xfId="0" applyFont="1" applyFill="1" applyBorder="1" applyAlignment="1">
      <alignment horizontal="left"/>
    </xf>
    <xf numFmtId="0" fontId="17" fillId="2" borderId="8" xfId="0" applyFont="1" applyFill="1" applyBorder="1" applyAlignment="1">
      <alignment horizontal="right"/>
    </xf>
    <xf numFmtId="0" fontId="17" fillId="2" borderId="7" xfId="0" applyFont="1" applyFill="1" applyBorder="1" applyAlignment="1">
      <alignment horizontal="right"/>
    </xf>
    <xf numFmtId="0" fontId="2" fillId="2" borderId="6" xfId="0" applyFont="1" applyFill="1" applyBorder="1" applyAlignment="1">
      <alignment horizontal="left"/>
    </xf>
    <xf numFmtId="174" fontId="4" fillId="2" borderId="11" xfId="0" applyNumberFormat="1" applyFont="1" applyFill="1" applyBorder="1" applyAlignment="1">
      <alignment horizontal="center"/>
    </xf>
    <xf numFmtId="0" fontId="2" fillId="2" borderId="12" xfId="0" applyFont="1" applyFill="1" applyBorder="1" applyAlignment="1">
      <alignment horizontal="left"/>
    </xf>
    <xf numFmtId="0" fontId="2" fillId="2" borderId="11" xfId="0" applyFont="1" applyFill="1" applyBorder="1" applyAlignment="1">
      <alignment horizontal="left"/>
    </xf>
    <xf numFmtId="189" fontId="5" fillId="2" borderId="0" xfId="0" applyNumberFormat="1" applyFont="1" applyFill="1" applyAlignment="1">
      <alignment horizontal="left"/>
    </xf>
    <xf numFmtId="0" fontId="2" fillId="2" borderId="1" xfId="0" applyFont="1" applyFill="1" applyBorder="1" applyAlignment="1">
      <alignment horizontal="center"/>
    </xf>
    <xf numFmtId="0" fontId="20" fillId="3" borderId="0" xfId="2" applyFont="1" applyFill="1" applyAlignment="1">
      <alignment horizontal="center"/>
    </xf>
    <xf numFmtId="0" fontId="50" fillId="2" borderId="0" xfId="4" applyFont="1" applyFill="1" applyAlignment="1">
      <alignment horizontal="center"/>
    </xf>
    <xf numFmtId="0" fontId="50" fillId="2" borderId="2" xfId="4" applyFont="1" applyFill="1" applyBorder="1" applyAlignment="1">
      <alignment horizontal="center"/>
    </xf>
    <xf numFmtId="0" fontId="50" fillId="2" borderId="4" xfId="4" applyFont="1" applyFill="1" applyBorder="1" applyAlignment="1">
      <alignment horizontal="center"/>
    </xf>
    <xf numFmtId="0" fontId="23" fillId="2" borderId="0" xfId="4" applyFont="1" applyFill="1" applyAlignment="1">
      <alignment horizontal="left" vertical="center"/>
    </xf>
    <xf numFmtId="0" fontId="20" fillId="2" borderId="0" xfId="4" applyFont="1" applyFill="1" applyAlignment="1">
      <alignment horizontal="left" vertical="center"/>
    </xf>
    <xf numFmtId="170" fontId="24" fillId="2" borderId="5" xfId="4" applyNumberFormat="1" applyFont="1" applyFill="1" applyBorder="1" applyAlignment="1">
      <alignment horizontal="center" vertical="center"/>
    </xf>
    <xf numFmtId="0" fontId="22" fillId="2" borderId="0" xfId="4" applyFont="1" applyFill="1" applyAlignment="1">
      <alignment horizontal="left" vertical="center"/>
    </xf>
    <xf numFmtId="0" fontId="20" fillId="2" borderId="0" xfId="4" applyFont="1" applyFill="1" applyAlignment="1">
      <alignment horizontal="right" vertical="center"/>
    </xf>
    <xf numFmtId="170" fontId="24" fillId="2" borderId="5" xfId="4" applyNumberFormat="1" applyFont="1" applyFill="1" applyBorder="1" applyAlignment="1">
      <alignment horizontal="left" vertical="center"/>
    </xf>
    <xf numFmtId="0" fontId="22" fillId="2" borderId="7" xfId="4" applyFont="1" applyFill="1" applyBorder="1" applyAlignment="1">
      <alignment horizontal="left" vertical="center"/>
    </xf>
    <xf numFmtId="168" fontId="24" fillId="2" borderId="5" xfId="4" applyNumberFormat="1" applyFont="1" applyFill="1" applyBorder="1" applyAlignment="1">
      <alignment horizontal="center" vertical="center"/>
    </xf>
    <xf numFmtId="0" fontId="50" fillId="2" borderId="7" xfId="4" applyFont="1" applyFill="1" applyBorder="1" applyAlignment="1">
      <alignment horizontal="center"/>
    </xf>
    <xf numFmtId="0" fontId="20" fillId="2" borderId="0" xfId="4" applyFont="1" applyFill="1" applyAlignment="1">
      <alignment horizontal="center" vertical="center"/>
    </xf>
    <xf numFmtId="170" fontId="24" fillId="2" borderId="0" xfId="4" applyNumberFormat="1" applyFont="1" applyFill="1" applyAlignment="1">
      <alignment horizontal="center" vertical="center"/>
    </xf>
    <xf numFmtId="0" fontId="50" fillId="2" borderId="9" xfId="4" applyFont="1" applyFill="1" applyBorder="1" applyAlignment="1">
      <alignment horizontal="center"/>
    </xf>
    <xf numFmtId="0" fontId="50" fillId="2" borderId="10" xfId="4" applyFont="1" applyFill="1" applyBorder="1" applyAlignment="1">
      <alignment horizontal="center"/>
    </xf>
    <xf numFmtId="0" fontId="25" fillId="2" borderId="0" xfId="4" applyFont="1" applyFill="1" applyAlignment="1">
      <alignment horizontal="left"/>
    </xf>
    <xf numFmtId="0" fontId="20" fillId="2" borderId="0" xfId="4" applyFont="1" applyFill="1"/>
    <xf numFmtId="0" fontId="26" fillId="2" borderId="1" xfId="4" applyFont="1" applyFill="1" applyBorder="1" applyAlignment="1">
      <alignment horizontal="left"/>
    </xf>
    <xf numFmtId="0" fontId="50" fillId="2" borderId="1" xfId="4" applyFont="1" applyFill="1" applyBorder="1" applyAlignment="1">
      <alignment horizontal="center"/>
    </xf>
    <xf numFmtId="0" fontId="20" fillId="2" borderId="0" xfId="4" applyFont="1" applyFill="1" applyAlignment="1">
      <alignment horizontal="left"/>
    </xf>
    <xf numFmtId="185" fontId="27" fillId="2" borderId="0" xfId="4" applyNumberFormat="1" applyFont="1" applyFill="1" applyAlignment="1">
      <alignment vertical="center"/>
    </xf>
    <xf numFmtId="0" fontId="28" fillId="3" borderId="0" xfId="2" applyFont="1" applyFill="1" applyAlignment="1">
      <alignment horizontal="left"/>
    </xf>
    <xf numFmtId="185" fontId="27" fillId="2" borderId="0" xfId="4" applyNumberFormat="1" applyFont="1" applyFill="1" applyAlignment="1">
      <alignment horizontal="left" vertical="center"/>
    </xf>
    <xf numFmtId="185" fontId="24" fillId="2" borderId="5" xfId="4" applyNumberFormat="1" applyFont="1" applyFill="1" applyBorder="1" applyAlignment="1">
      <alignment vertical="center"/>
    </xf>
    <xf numFmtId="167" fontId="24" fillId="2" borderId="13" xfId="4" applyNumberFormat="1" applyFont="1" applyFill="1" applyBorder="1" applyAlignment="1">
      <alignment horizontal="left" vertical="center"/>
    </xf>
    <xf numFmtId="0" fontId="20" fillId="2" borderId="2" xfId="4" applyFont="1" applyFill="1" applyBorder="1" applyAlignment="1">
      <alignment horizontal="right" vertical="center"/>
    </xf>
    <xf numFmtId="2" fontId="20" fillId="2" borderId="5" xfId="4" applyNumberFormat="1" applyFont="1" applyFill="1" applyBorder="1" applyAlignment="1">
      <alignment horizontal="center" vertical="center"/>
    </xf>
    <xf numFmtId="186" fontId="24" fillId="2" borderId="5" xfId="4" applyNumberFormat="1" applyFont="1" applyFill="1" applyBorder="1" applyAlignment="1">
      <alignment horizontal="left" vertical="center"/>
    </xf>
    <xf numFmtId="0" fontId="20" fillId="2" borderId="4" xfId="4" applyFont="1" applyFill="1" applyBorder="1" applyAlignment="1">
      <alignment horizontal="right" vertical="center"/>
    </xf>
    <xf numFmtId="164" fontId="20" fillId="2" borderId="5" xfId="4" applyNumberFormat="1" applyFont="1" applyFill="1" applyBorder="1" applyAlignment="1">
      <alignment horizontal="center" vertical="center"/>
    </xf>
    <xf numFmtId="0" fontId="20" fillId="2" borderId="9" xfId="4" applyFont="1" applyFill="1" applyBorder="1" applyAlignment="1">
      <alignment horizontal="left"/>
    </xf>
    <xf numFmtId="0" fontId="20" fillId="2" borderId="9" xfId="4" applyFont="1" applyFill="1" applyBorder="1" applyAlignment="1">
      <alignment horizontal="left" vertical="center"/>
    </xf>
    <xf numFmtId="185" fontId="27" fillId="2" borderId="9" xfId="4" applyNumberFormat="1" applyFont="1" applyFill="1" applyBorder="1" applyAlignment="1">
      <alignment horizontal="left" vertical="center"/>
    </xf>
    <xf numFmtId="0" fontId="20" fillId="2" borderId="1" xfId="4" applyFont="1" applyFill="1" applyBorder="1" applyAlignment="1">
      <alignment vertical="center"/>
    </xf>
    <xf numFmtId="0" fontId="20" fillId="2" borderId="1" xfId="4" applyFont="1" applyFill="1" applyBorder="1" applyAlignment="1">
      <alignment horizontal="left" vertical="center"/>
    </xf>
    <xf numFmtId="167" fontId="27" fillId="2" borderId="1" xfId="4" applyNumberFormat="1" applyFont="1" applyFill="1" applyBorder="1" applyAlignment="1">
      <alignment horizontal="left" vertical="center"/>
    </xf>
    <xf numFmtId="174" fontId="27" fillId="2" borderId="9" xfId="4" applyNumberFormat="1" applyFont="1" applyFill="1" applyBorder="1" applyAlignment="1">
      <alignment horizontal="left" vertical="center"/>
    </xf>
    <xf numFmtId="49" fontId="20" fillId="2" borderId="4" xfId="4" applyNumberFormat="1" applyFont="1" applyFill="1" applyBorder="1" applyAlignment="1">
      <alignment horizontal="right" vertical="center"/>
    </xf>
    <xf numFmtId="0" fontId="20" fillId="2" borderId="3" xfId="4" applyFont="1" applyFill="1" applyBorder="1" applyAlignment="1">
      <alignment horizontal="right" vertical="center"/>
    </xf>
    <xf numFmtId="1" fontId="20" fillId="2" borderId="5" xfId="4" applyNumberFormat="1" applyFont="1" applyFill="1" applyBorder="1" applyAlignment="1">
      <alignment horizontal="center" vertical="center"/>
    </xf>
    <xf numFmtId="0" fontId="20" fillId="2" borderId="0" xfId="4" applyFont="1" applyFill="1" applyAlignment="1">
      <alignment vertical="center"/>
    </xf>
    <xf numFmtId="0" fontId="50" fillId="2" borderId="0" xfId="4" applyFont="1" applyFill="1" applyAlignment="1">
      <alignment horizontal="center" vertical="center"/>
    </xf>
    <xf numFmtId="0" fontId="50" fillId="2" borderId="4" xfId="4" applyFont="1" applyFill="1" applyBorder="1" applyAlignment="1">
      <alignment horizontal="center" vertical="center"/>
    </xf>
    <xf numFmtId="0" fontId="50" fillId="2" borderId="7" xfId="4" applyFont="1" applyFill="1" applyBorder="1" applyAlignment="1">
      <alignment horizontal="center" vertical="center"/>
    </xf>
    <xf numFmtId="0" fontId="50" fillId="2" borderId="12" xfId="4" applyFont="1" applyFill="1" applyBorder="1" applyAlignment="1">
      <alignment horizontal="center" vertical="center"/>
    </xf>
    <xf numFmtId="0" fontId="20" fillId="2" borderId="5" xfId="4" applyFont="1" applyFill="1" applyBorder="1" applyAlignment="1">
      <alignment horizontal="center" vertical="center"/>
    </xf>
    <xf numFmtId="0" fontId="50" fillId="2" borderId="11" xfId="4" applyFont="1" applyFill="1" applyBorder="1" applyAlignment="1">
      <alignment horizontal="center" vertical="center"/>
    </xf>
    <xf numFmtId="2" fontId="50" fillId="2" borderId="5" xfId="4" applyNumberFormat="1" applyFont="1" applyFill="1" applyBorder="1" applyAlignment="1">
      <alignment horizontal="center" vertical="center"/>
    </xf>
    <xf numFmtId="0" fontId="50" fillId="2" borderId="5" xfId="4" applyFont="1" applyFill="1" applyBorder="1" applyAlignment="1">
      <alignment horizontal="center" vertical="center"/>
    </xf>
    <xf numFmtId="167" fontId="27" fillId="2" borderId="5" xfId="4" applyNumberFormat="1" applyFont="1" applyFill="1" applyBorder="1" applyAlignment="1">
      <alignment horizontal="center" vertical="center"/>
    </xf>
    <xf numFmtId="178" fontId="24" fillId="2" borderId="5" xfId="4" applyNumberFormat="1" applyFont="1" applyFill="1" applyBorder="1" applyAlignment="1">
      <alignment horizontal="center" vertical="center"/>
    </xf>
    <xf numFmtId="0" fontId="20" fillId="2" borderId="9" xfId="4" applyFont="1" applyFill="1" applyBorder="1" applyAlignment="1">
      <alignment vertical="center"/>
    </xf>
    <xf numFmtId="2" fontId="27" fillId="2" borderId="9" xfId="4" applyNumberFormat="1" applyFont="1" applyFill="1" applyBorder="1" applyAlignment="1">
      <alignment horizontal="center" vertical="center"/>
    </xf>
    <xf numFmtId="0" fontId="20" fillId="2" borderId="5" xfId="4" applyFont="1" applyFill="1" applyBorder="1"/>
    <xf numFmtId="0" fontId="20" fillId="2" borderId="6" xfId="4" applyFont="1" applyFill="1" applyBorder="1" applyAlignment="1">
      <alignment vertical="center"/>
    </xf>
    <xf numFmtId="171" fontId="32" fillId="2" borderId="6" xfId="4" applyNumberFormat="1" applyFont="1" applyFill="1" applyBorder="1" applyAlignment="1">
      <alignment horizontal="center" vertical="center"/>
    </xf>
    <xf numFmtId="0" fontId="33" fillId="2" borderId="5" xfId="4" applyFont="1" applyFill="1" applyBorder="1" applyAlignment="1">
      <alignment horizontal="center" vertical="center"/>
    </xf>
    <xf numFmtId="0" fontId="33" fillId="2" borderId="12" xfId="4" applyFont="1" applyFill="1" applyBorder="1" applyAlignment="1">
      <alignment horizontal="center" vertical="top"/>
    </xf>
    <xf numFmtId="0" fontId="20" fillId="2" borderId="0" xfId="0" applyFont="1" applyFill="1"/>
    <xf numFmtId="0" fontId="20" fillId="2" borderId="5" xfId="4" applyFont="1" applyFill="1" applyBorder="1" applyAlignment="1">
      <alignment horizontal="center" vertical="center" wrapText="1"/>
    </xf>
    <xf numFmtId="0" fontId="33" fillId="2" borderId="11" xfId="4" applyFont="1" applyFill="1" applyBorder="1" applyAlignment="1">
      <alignment horizontal="center" vertical="top"/>
    </xf>
    <xf numFmtId="0" fontId="20" fillId="2" borderId="13" xfId="4" applyFont="1" applyFill="1" applyBorder="1" applyAlignment="1">
      <alignment horizontal="center" vertical="center"/>
    </xf>
    <xf numFmtId="0" fontId="28" fillId="3" borderId="0" xfId="2" applyFont="1" applyFill="1" applyAlignment="1">
      <alignment horizontal="center"/>
    </xf>
    <xf numFmtId="0" fontId="20" fillId="2" borderId="6" xfId="4" applyFont="1" applyFill="1" applyBorder="1" applyAlignment="1">
      <alignment horizontal="center" vertical="center"/>
    </xf>
    <xf numFmtId="167" fontId="35" fillId="2" borderId="6" xfId="4" applyNumberFormat="1" applyFont="1" applyFill="1" applyBorder="1" applyAlignment="1">
      <alignment horizontal="center" vertical="center"/>
    </xf>
    <xf numFmtId="0" fontId="20" fillId="2" borderId="1" xfId="4" applyFont="1" applyFill="1" applyBorder="1" applyAlignment="1">
      <alignment horizontal="center" vertical="center"/>
    </xf>
    <xf numFmtId="167" fontId="35" fillId="2" borderId="1" xfId="4" applyNumberFormat="1" applyFont="1" applyFill="1" applyBorder="1" applyAlignment="1">
      <alignment horizontal="center" vertical="center"/>
    </xf>
    <xf numFmtId="0" fontId="20" fillId="3" borderId="2" xfId="2" applyFont="1" applyFill="1" applyBorder="1" applyAlignment="1">
      <alignment horizontal="right"/>
    </xf>
    <xf numFmtId="1" fontId="50" fillId="2" borderId="5" xfId="4" applyNumberFormat="1" applyFont="1" applyFill="1" applyBorder="1" applyAlignment="1">
      <alignment horizontal="center" vertical="center"/>
    </xf>
    <xf numFmtId="0" fontId="50" fillId="2" borderId="6" xfId="4" applyFont="1" applyFill="1" applyBorder="1" applyAlignment="1">
      <alignment horizontal="center" vertical="center"/>
    </xf>
    <xf numFmtId="166" fontId="27" fillId="2" borderId="6" xfId="4" applyNumberFormat="1" applyFont="1" applyFill="1" applyBorder="1" applyAlignment="1">
      <alignment horizontal="center" vertical="center"/>
    </xf>
    <xf numFmtId="166" fontId="27" fillId="2" borderId="5" xfId="4" applyNumberFormat="1" applyFont="1" applyFill="1" applyBorder="1" applyAlignment="1">
      <alignment horizontal="center" vertical="center"/>
    </xf>
    <xf numFmtId="0" fontId="20" fillId="3" borderId="4" xfId="2" applyFont="1" applyFill="1" applyBorder="1" applyAlignment="1">
      <alignment horizontal="right"/>
    </xf>
    <xf numFmtId="2" fontId="27" fillId="2" borderId="5" xfId="4" applyNumberFormat="1" applyFont="1" applyFill="1" applyBorder="1" applyAlignment="1">
      <alignment horizontal="center" vertical="center"/>
    </xf>
    <xf numFmtId="0" fontId="38" fillId="2" borderId="9" xfId="4" applyFont="1" applyFill="1" applyBorder="1" applyAlignment="1">
      <alignment horizontal="center" vertical="center"/>
    </xf>
    <xf numFmtId="0" fontId="20" fillId="3" borderId="3" xfId="2" applyFont="1" applyFill="1" applyBorder="1" applyAlignment="1">
      <alignment horizontal="right"/>
    </xf>
    <xf numFmtId="170" fontId="27" fillId="2" borderId="6" xfId="4" applyNumberFormat="1" applyFont="1" applyFill="1" applyBorder="1" applyAlignment="1">
      <alignment horizontal="center" vertical="center"/>
    </xf>
    <xf numFmtId="0" fontId="39" fillId="2" borderId="2" xfId="4" applyFont="1" applyFill="1" applyBorder="1" applyAlignment="1">
      <alignment horizontal="right" vertical="center"/>
    </xf>
    <xf numFmtId="11" fontId="40" fillId="2" borderId="5" xfId="4" applyNumberFormat="1" applyFont="1" applyFill="1" applyBorder="1" applyAlignment="1">
      <alignment horizontal="center" vertical="center"/>
    </xf>
    <xf numFmtId="0" fontId="39" fillId="2" borderId="4" xfId="4" applyFont="1" applyFill="1" applyBorder="1" applyAlignment="1">
      <alignment horizontal="right" vertical="center"/>
    </xf>
    <xf numFmtId="165" fontId="35" fillId="2" borderId="5" xfId="4" applyNumberFormat="1" applyFont="1" applyFill="1" applyBorder="1" applyAlignment="1">
      <alignment horizontal="center" vertical="center"/>
    </xf>
    <xf numFmtId="0" fontId="39" fillId="2" borderId="3" xfId="4" applyFont="1" applyFill="1" applyBorder="1" applyAlignment="1">
      <alignment horizontal="right" vertical="center"/>
    </xf>
    <xf numFmtId="0" fontId="50" fillId="2" borderId="3" xfId="4" applyFont="1" applyFill="1" applyBorder="1" applyAlignment="1">
      <alignment horizontal="center"/>
    </xf>
    <xf numFmtId="0" fontId="50" fillId="2" borderId="8" xfId="4" applyFont="1" applyFill="1" applyBorder="1" applyAlignment="1">
      <alignment horizontal="center"/>
    </xf>
    <xf numFmtId="0" fontId="25" fillId="2" borderId="0" xfId="4" applyFont="1" applyFill="1" applyAlignment="1">
      <alignment vertical="center"/>
    </xf>
    <xf numFmtId="171" fontId="35" fillId="2" borderId="5" xfId="4" applyNumberFormat="1" applyFont="1" applyFill="1" applyBorder="1" applyAlignment="1">
      <alignment horizontal="center" vertical="center"/>
    </xf>
    <xf numFmtId="171" fontId="35" fillId="2" borderId="0" xfId="4" applyNumberFormat="1" applyFont="1" applyFill="1" applyAlignment="1">
      <alignment horizontal="center" vertical="center"/>
    </xf>
    <xf numFmtId="0" fontId="28" fillId="3" borderId="7" xfId="2" applyFont="1" applyFill="1" applyBorder="1" applyAlignment="1">
      <alignment horizontal="left"/>
    </xf>
    <xf numFmtId="0" fontId="20" fillId="2" borderId="0" xfId="0" applyFont="1" applyFill="1" applyAlignment="1">
      <alignment horizontal="center"/>
    </xf>
    <xf numFmtId="0" fontId="41" fillId="2" borderId="0" xfId="0" applyFont="1" applyFill="1" applyAlignment="1">
      <alignment horizontal="left"/>
    </xf>
    <xf numFmtId="187" fontId="41" fillId="2" borderId="0" xfId="0" applyNumberFormat="1" applyFont="1" applyFill="1" applyAlignment="1">
      <alignment horizontal="left"/>
    </xf>
    <xf numFmtId="0" fontId="20" fillId="2" borderId="0" xfId="0" applyFont="1" applyFill="1" applyAlignment="1">
      <alignment horizontal="left"/>
    </xf>
    <xf numFmtId="0" fontId="41" fillId="2" borderId="0" xfId="0" applyFont="1" applyFill="1" applyAlignment="1">
      <alignment horizontal="center"/>
    </xf>
    <xf numFmtId="0" fontId="20" fillId="2" borderId="7" xfId="0" applyFont="1" applyFill="1" applyBorder="1" applyAlignment="1">
      <alignment horizontal="center"/>
    </xf>
    <xf numFmtId="0" fontId="20" fillId="2" borderId="2" xfId="0" applyFont="1" applyFill="1" applyBorder="1" applyAlignment="1">
      <alignment horizontal="center"/>
    </xf>
    <xf numFmtId="0" fontId="20" fillId="2" borderId="9" xfId="0" applyFont="1" applyFill="1" applyBorder="1" applyAlignment="1">
      <alignment horizontal="left"/>
    </xf>
    <xf numFmtId="0" fontId="20" fillId="2" borderId="9" xfId="0" applyFont="1" applyFill="1" applyBorder="1" applyAlignment="1">
      <alignment horizontal="center"/>
    </xf>
    <xf numFmtId="0" fontId="20" fillId="2" borderId="10" xfId="0" applyFont="1" applyFill="1" applyBorder="1" applyAlignment="1">
      <alignment horizontal="center"/>
    </xf>
    <xf numFmtId="0" fontId="20" fillId="2" borderId="4" xfId="0" applyFont="1" applyFill="1" applyBorder="1" applyAlignment="1">
      <alignment horizontal="center"/>
    </xf>
    <xf numFmtId="0" fontId="25" fillId="2" borderId="0" xfId="0" applyFont="1" applyFill="1" applyAlignment="1">
      <alignment horizontal="left"/>
    </xf>
    <xf numFmtId="169" fontId="24" fillId="2" borderId="5" xfId="0" applyNumberFormat="1" applyFont="1" applyFill="1" applyBorder="1" applyAlignment="1">
      <alignment horizontal="center"/>
    </xf>
    <xf numFmtId="169" fontId="27" fillId="2" borderId="5" xfId="0" applyNumberFormat="1" applyFont="1" applyFill="1" applyBorder="1" applyAlignment="1">
      <alignment horizontal="center"/>
    </xf>
    <xf numFmtId="0" fontId="24" fillId="2" borderId="0" xfId="0" applyFont="1" applyFill="1" applyAlignment="1">
      <alignment horizontal="center"/>
    </xf>
    <xf numFmtId="166" fontId="24" fillId="2" borderId="5" xfId="0" applyNumberFormat="1" applyFont="1" applyFill="1" applyBorder="1" applyAlignment="1">
      <alignment horizontal="center"/>
    </xf>
    <xf numFmtId="170" fontId="24" fillId="2" borderId="5" xfId="0" applyNumberFormat="1" applyFont="1" applyFill="1" applyBorder="1" applyAlignment="1">
      <alignment horizontal="center"/>
    </xf>
    <xf numFmtId="0" fontId="20" fillId="2" borderId="0" xfId="0" applyFont="1" applyFill="1" applyAlignment="1">
      <alignment horizontal="right"/>
    </xf>
    <xf numFmtId="188" fontId="24" fillId="2" borderId="5" xfId="0" applyNumberFormat="1" applyFont="1" applyFill="1" applyBorder="1" applyAlignment="1">
      <alignment horizontal="center"/>
    </xf>
    <xf numFmtId="183" fontId="43" fillId="2" borderId="5" xfId="0" applyNumberFormat="1" applyFont="1" applyFill="1" applyBorder="1" applyAlignment="1">
      <alignment horizontal="center"/>
    </xf>
    <xf numFmtId="0" fontId="20" fillId="2" borderId="0" xfId="0" applyFont="1" applyFill="1" applyAlignment="1">
      <alignment horizontal="center" vertical="center"/>
    </xf>
    <xf numFmtId="173" fontId="44" fillId="2" borderId="5" xfId="0" applyNumberFormat="1" applyFont="1" applyFill="1" applyBorder="1" applyAlignment="1">
      <alignment horizontal="center"/>
    </xf>
    <xf numFmtId="173" fontId="27" fillId="2" borderId="5" xfId="0" applyNumberFormat="1" applyFont="1" applyFill="1" applyBorder="1" applyAlignment="1">
      <alignment horizontal="center"/>
    </xf>
    <xf numFmtId="2" fontId="27" fillId="2" borderId="5" xfId="0" applyNumberFormat="1" applyFont="1" applyFill="1" applyBorder="1" applyAlignment="1">
      <alignment horizontal="center"/>
    </xf>
    <xf numFmtId="182" fontId="27" fillId="2" borderId="5" xfId="0" applyNumberFormat="1" applyFont="1" applyFill="1" applyBorder="1" applyAlignment="1">
      <alignment horizontal="center"/>
    </xf>
    <xf numFmtId="0" fontId="45" fillId="2" borderId="0" xfId="0" applyFont="1" applyFill="1" applyAlignment="1">
      <alignment vertical="justify"/>
    </xf>
    <xf numFmtId="0" fontId="20" fillId="2" borderId="3" xfId="0" applyFont="1" applyFill="1" applyBorder="1" applyAlignment="1">
      <alignment horizontal="center"/>
    </xf>
    <xf numFmtId="0" fontId="20" fillId="2" borderId="1" xfId="0" applyFont="1" applyFill="1" applyBorder="1" applyAlignment="1">
      <alignment horizontal="left"/>
    </xf>
    <xf numFmtId="0" fontId="20" fillId="2" borderId="1" xfId="0" applyFont="1" applyFill="1" applyBorder="1" applyAlignment="1">
      <alignment horizontal="center"/>
    </xf>
    <xf numFmtId="0" fontId="20" fillId="2" borderId="8" xfId="0" applyFont="1" applyFill="1" applyBorder="1" applyAlignment="1">
      <alignment horizontal="center"/>
    </xf>
    <xf numFmtId="0" fontId="20" fillId="2" borderId="4" xfId="0" applyFont="1" applyFill="1" applyBorder="1" applyAlignment="1">
      <alignment horizontal="left"/>
    </xf>
    <xf numFmtId="170" fontId="24" fillId="2" borderId="5" xfId="0" applyNumberFormat="1" applyFont="1" applyFill="1" applyBorder="1" applyAlignment="1">
      <alignment horizontal="left"/>
    </xf>
    <xf numFmtId="164" fontId="27" fillId="2" borderId="5" xfId="0" applyNumberFormat="1" applyFont="1" applyFill="1" applyBorder="1" applyAlignment="1">
      <alignment horizontal="center"/>
    </xf>
    <xf numFmtId="0" fontId="27" fillId="2" borderId="4" xfId="0" applyFont="1" applyFill="1" applyBorder="1" applyAlignment="1">
      <alignment horizontal="left"/>
    </xf>
    <xf numFmtId="166" fontId="27" fillId="2" borderId="0" xfId="0" applyNumberFormat="1" applyFont="1" applyFill="1" applyAlignment="1">
      <alignment horizontal="center"/>
    </xf>
    <xf numFmtId="166" fontId="27" fillId="2" borderId="5" xfId="0" applyNumberFormat="1" applyFont="1" applyFill="1" applyBorder="1" applyAlignment="1">
      <alignment horizontal="center"/>
    </xf>
    <xf numFmtId="1" fontId="27" fillId="2" borderId="0" xfId="0" applyNumberFormat="1" applyFont="1" applyFill="1" applyAlignment="1">
      <alignment horizontal="center"/>
    </xf>
    <xf numFmtId="2" fontId="27" fillId="2" borderId="7" xfId="0" applyNumberFormat="1" applyFont="1" applyFill="1" applyBorder="1" applyAlignment="1">
      <alignment horizontal="center"/>
    </xf>
    <xf numFmtId="0" fontId="20" fillId="2" borderId="5" xfId="0" applyFont="1" applyFill="1" applyBorder="1" applyAlignment="1">
      <alignment horizontal="center"/>
    </xf>
    <xf numFmtId="2" fontId="20" fillId="2" borderId="5" xfId="0" applyNumberFormat="1" applyFont="1" applyFill="1" applyBorder="1" applyAlignment="1">
      <alignment horizontal="center"/>
    </xf>
    <xf numFmtId="1" fontId="20" fillId="2" borderId="5" xfId="0" applyNumberFormat="1" applyFont="1" applyFill="1" applyBorder="1" applyAlignment="1">
      <alignment horizontal="center"/>
    </xf>
    <xf numFmtId="168" fontId="24" fillId="2" borderId="5" xfId="0" applyNumberFormat="1" applyFont="1" applyFill="1" applyBorder="1" applyAlignment="1">
      <alignment horizontal="center"/>
    </xf>
    <xf numFmtId="177" fontId="20" fillId="2" borderId="10" xfId="0" applyNumberFormat="1" applyFont="1" applyFill="1" applyBorder="1" applyAlignment="1">
      <alignment horizontal="center"/>
    </xf>
    <xf numFmtId="0" fontId="43" fillId="2" borderId="0" xfId="0" applyFont="1" applyFill="1" applyAlignment="1">
      <alignment horizontal="center"/>
    </xf>
    <xf numFmtId="0" fontId="43" fillId="2" borderId="7" xfId="0" applyFont="1" applyFill="1" applyBorder="1" applyAlignment="1">
      <alignment horizontal="center"/>
    </xf>
    <xf numFmtId="1" fontId="27" fillId="2" borderId="5" xfId="0" applyNumberFormat="1" applyFont="1" applyFill="1" applyBorder="1" applyAlignment="1">
      <alignment horizontal="center"/>
    </xf>
    <xf numFmtId="177" fontId="20" fillId="2" borderId="7" xfId="0" applyNumberFormat="1" applyFont="1" applyFill="1" applyBorder="1" applyAlignment="1">
      <alignment horizontal="center"/>
    </xf>
    <xf numFmtId="170" fontId="44" fillId="2" borderId="5" xfId="0" applyNumberFormat="1" applyFont="1" applyFill="1" applyBorder="1" applyAlignment="1">
      <alignment horizontal="center"/>
    </xf>
    <xf numFmtId="49" fontId="20" fillId="2" borderId="4" xfId="0" applyNumberFormat="1" applyFont="1" applyFill="1" applyBorder="1" applyAlignment="1">
      <alignment horizontal="center"/>
    </xf>
    <xf numFmtId="0" fontId="20" fillId="2" borderId="0" xfId="0" applyFont="1" applyFill="1" applyAlignment="1">
      <alignment vertical="center"/>
    </xf>
    <xf numFmtId="1" fontId="20" fillId="2" borderId="8" xfId="0" applyNumberFormat="1" applyFont="1" applyFill="1" applyBorder="1" applyAlignment="1">
      <alignment horizontal="center"/>
    </xf>
    <xf numFmtId="170" fontId="27" fillId="2" borderId="5" xfId="0" applyNumberFormat="1" applyFont="1" applyFill="1" applyBorder="1" applyAlignment="1">
      <alignment horizontal="center"/>
    </xf>
    <xf numFmtId="164" fontId="20" fillId="2" borderId="10" xfId="0" applyNumberFormat="1" applyFont="1" applyFill="1" applyBorder="1" applyAlignment="1">
      <alignment horizontal="center"/>
    </xf>
    <xf numFmtId="0" fontId="25" fillId="2" borderId="0" xfId="0" applyFont="1" applyFill="1" applyAlignment="1">
      <alignment vertical="center"/>
    </xf>
    <xf numFmtId="0" fontId="25" fillId="2" borderId="7" xfId="0" applyFont="1" applyFill="1" applyBorder="1" applyAlignment="1">
      <alignment vertical="center"/>
    </xf>
    <xf numFmtId="1" fontId="20" fillId="2" borderId="7" xfId="0" applyNumberFormat="1" applyFont="1" applyFill="1" applyBorder="1" applyAlignment="1">
      <alignment horizontal="center"/>
    </xf>
    <xf numFmtId="0" fontId="20" fillId="2" borderId="5" xfId="0" applyFont="1" applyFill="1" applyBorder="1" applyAlignment="1">
      <alignment horizontal="center" vertical="center"/>
    </xf>
    <xf numFmtId="165" fontId="43" fillId="2" borderId="5" xfId="0" applyNumberFormat="1" applyFont="1" applyFill="1" applyBorder="1" applyAlignment="1">
      <alignment horizontal="center"/>
    </xf>
    <xf numFmtId="171" fontId="27" fillId="2" borderId="5" xfId="0" applyNumberFormat="1" applyFont="1" applyFill="1" applyBorder="1" applyAlignment="1">
      <alignment horizontal="center" vertical="center"/>
    </xf>
    <xf numFmtId="171" fontId="27" fillId="2" borderId="0" xfId="0" applyNumberFormat="1" applyFont="1" applyFill="1" applyAlignment="1">
      <alignment horizontal="center" vertical="center"/>
    </xf>
    <xf numFmtId="171" fontId="27" fillId="2" borderId="7" xfId="0" applyNumberFormat="1" applyFont="1" applyFill="1" applyBorder="1" applyAlignment="1">
      <alignment horizontal="center" vertical="center"/>
    </xf>
    <xf numFmtId="0" fontId="44" fillId="2" borderId="7" xfId="0" applyFont="1" applyFill="1" applyBorder="1" applyAlignment="1">
      <alignment horizontal="center"/>
    </xf>
    <xf numFmtId="0" fontId="21" fillId="2" borderId="4" xfId="0" applyFont="1" applyFill="1" applyBorder="1"/>
    <xf numFmtId="164" fontId="20" fillId="2" borderId="7" xfId="0" applyNumberFormat="1" applyFont="1" applyFill="1" applyBorder="1" applyAlignment="1">
      <alignment horizontal="center"/>
    </xf>
    <xf numFmtId="0" fontId="33" fillId="2" borderId="3" xfId="0" applyFont="1" applyFill="1" applyBorder="1" applyAlignment="1">
      <alignment horizontal="center"/>
    </xf>
    <xf numFmtId="164" fontId="20" fillId="2" borderId="8" xfId="0" applyNumberFormat="1" applyFont="1" applyFill="1" applyBorder="1" applyAlignment="1">
      <alignment horizontal="center"/>
    </xf>
    <xf numFmtId="0" fontId="38" fillId="2" borderId="0" xfId="0" applyFont="1" applyFill="1" applyAlignment="1">
      <alignment horizontal="center" vertical="justify"/>
    </xf>
    <xf numFmtId="0" fontId="38" fillId="2" borderId="0" xfId="0" applyFont="1" applyFill="1" applyAlignment="1">
      <alignment horizontal="left" vertical="justify"/>
    </xf>
    <xf numFmtId="0" fontId="27" fillId="2" borderId="0" xfId="0" applyFont="1" applyFill="1" applyAlignment="1">
      <alignment vertical="justify"/>
    </xf>
    <xf numFmtId="0" fontId="27" fillId="2" borderId="0" xfId="0" applyFont="1" applyFill="1" applyAlignment="1">
      <alignment horizontal="left"/>
    </xf>
    <xf numFmtId="0" fontId="27" fillId="2" borderId="0" xfId="0" applyFont="1" applyFill="1" applyAlignment="1">
      <alignment horizontal="center"/>
    </xf>
    <xf numFmtId="169" fontId="27" fillId="2" borderId="5" xfId="0" applyNumberFormat="1" applyFont="1" applyFill="1" applyBorder="1" applyAlignment="1">
      <alignment horizontal="center" vertical="center"/>
    </xf>
    <xf numFmtId="181" fontId="27" fillId="2" borderId="5" xfId="0" applyNumberFormat="1" applyFont="1" applyFill="1" applyBorder="1" applyAlignment="1">
      <alignment horizontal="center"/>
    </xf>
    <xf numFmtId="0" fontId="27" fillId="2" borderId="0" xfId="0" applyFont="1" applyFill="1"/>
    <xf numFmtId="0" fontId="24" fillId="2" borderId="0" xfId="0" applyFont="1" applyFill="1" applyAlignment="1">
      <alignment horizontal="left" vertical="justify"/>
    </xf>
    <xf numFmtId="1" fontId="43" fillId="2" borderId="0" xfId="0" applyNumberFormat="1" applyFont="1" applyFill="1" applyAlignment="1">
      <alignment horizontal="left"/>
    </xf>
    <xf numFmtId="0" fontId="46" fillId="2" borderId="0" xfId="0" applyFont="1" applyFill="1" applyAlignment="1">
      <alignment horizontal="left"/>
    </xf>
    <xf numFmtId="0" fontId="20" fillId="2" borderId="0" xfId="0" applyFont="1" applyFill="1" applyAlignment="1">
      <alignment horizontal="left" vertical="justify"/>
    </xf>
    <xf numFmtId="1" fontId="20" fillId="2" borderId="0" xfId="0" applyNumberFormat="1" applyFont="1" applyFill="1" applyAlignment="1">
      <alignment horizontal="center"/>
    </xf>
    <xf numFmtId="1" fontId="47" fillId="2" borderId="0" xfId="0" applyNumberFormat="1" applyFont="1" applyFill="1" applyAlignment="1">
      <alignment horizontal="left"/>
    </xf>
    <xf numFmtId="165" fontId="43" fillId="2" borderId="0" xfId="0" applyNumberFormat="1" applyFont="1" applyFill="1" applyAlignment="1">
      <alignment horizontal="left"/>
    </xf>
    <xf numFmtId="0" fontId="38" fillId="2" borderId="1" xfId="0" applyFont="1" applyFill="1" applyBorder="1"/>
    <xf numFmtId="0" fontId="20" fillId="2" borderId="1" xfId="0" applyFont="1" applyFill="1" applyBorder="1"/>
    <xf numFmtId="0" fontId="38" fillId="2" borderId="0" xfId="0" applyFont="1" applyFill="1"/>
    <xf numFmtId="0" fontId="38" fillId="2" borderId="0" xfId="0" applyFont="1" applyFill="1" applyAlignment="1">
      <alignment horizontal="left"/>
    </xf>
    <xf numFmtId="0" fontId="38" fillId="2" borderId="0" xfId="0" applyFont="1" applyFill="1" applyAlignment="1">
      <alignment horizontal="right"/>
    </xf>
    <xf numFmtId="173" fontId="38" fillId="2" borderId="0" xfId="0" applyNumberFormat="1" applyFont="1" applyFill="1" applyAlignment="1">
      <alignment horizontal="left"/>
    </xf>
    <xf numFmtId="0" fontId="29" fillId="2" borderId="0" xfId="0" applyFont="1" applyFill="1" applyAlignment="1">
      <alignment horizontal="left"/>
    </xf>
    <xf numFmtId="171" fontId="27" fillId="2" borderId="0" xfId="0" applyNumberFormat="1" applyFont="1" applyFill="1" applyAlignment="1">
      <alignment horizontal="left"/>
    </xf>
    <xf numFmtId="0" fontId="46" fillId="2" borderId="0" xfId="0" applyFont="1" applyFill="1" applyAlignment="1">
      <alignment horizontal="center"/>
    </xf>
    <xf numFmtId="0" fontId="38" fillId="2" borderId="4" xfId="0" applyFont="1" applyFill="1" applyBorder="1" applyAlignment="1">
      <alignment horizontal="right"/>
    </xf>
    <xf numFmtId="0" fontId="46" fillId="2" borderId="0" xfId="0" applyFont="1" applyFill="1" applyAlignment="1">
      <alignment horizontal="right" textRotation="90"/>
    </xf>
    <xf numFmtId="2" fontId="20" fillId="2" borderId="0" xfId="0" applyNumberFormat="1" applyFont="1" applyFill="1" applyAlignment="1">
      <alignment horizontal="center"/>
    </xf>
    <xf numFmtId="0" fontId="48" fillId="2" borderId="0" xfId="0" applyFont="1" applyFill="1" applyAlignment="1">
      <alignment horizontal="center"/>
    </xf>
    <xf numFmtId="180" fontId="20" fillId="2" borderId="0" xfId="0" applyNumberFormat="1" applyFont="1" applyFill="1" applyAlignment="1">
      <alignment horizontal="right" vertical="center"/>
    </xf>
    <xf numFmtId="179" fontId="20" fillId="2" borderId="0" xfId="0" applyNumberFormat="1" applyFont="1" applyFill="1" applyAlignment="1">
      <alignment horizontal="left" vertical="center"/>
    </xf>
    <xf numFmtId="179" fontId="20" fillId="2" borderId="7" xfId="0" applyNumberFormat="1" applyFont="1" applyFill="1" applyBorder="1" applyAlignment="1">
      <alignment horizontal="left" vertical="center"/>
    </xf>
    <xf numFmtId="1" fontId="27" fillId="2" borderId="0" xfId="0" applyNumberFormat="1" applyFont="1" applyFill="1"/>
    <xf numFmtId="0" fontId="46" fillId="2" borderId="0" xfId="0" applyFont="1" applyFill="1"/>
    <xf numFmtId="0" fontId="41" fillId="2" borderId="2" xfId="0" applyFont="1" applyFill="1" applyBorder="1" applyAlignment="1">
      <alignment horizontal="left"/>
    </xf>
    <xf numFmtId="0" fontId="20" fillId="2" borderId="5" xfId="0" applyFont="1" applyFill="1" applyBorder="1" applyAlignment="1">
      <alignment vertical="center"/>
    </xf>
    <xf numFmtId="180" fontId="44" fillId="2" borderId="5" xfId="0" applyNumberFormat="1" applyFont="1" applyFill="1" applyBorder="1" applyAlignment="1">
      <alignment horizontal="right" vertical="center"/>
    </xf>
    <xf numFmtId="179" fontId="44" fillId="2" borderId="5" xfId="0" applyNumberFormat="1" applyFont="1" applyFill="1" applyBorder="1" applyAlignment="1">
      <alignment horizontal="left" vertical="center"/>
    </xf>
    <xf numFmtId="0" fontId="38" fillId="2" borderId="0" xfId="0" applyFont="1" applyFill="1" applyAlignment="1">
      <alignment vertical="justify"/>
    </xf>
    <xf numFmtId="0" fontId="25" fillId="2" borderId="1" xfId="0" applyFont="1" applyFill="1" applyBorder="1" applyAlignment="1">
      <alignment horizontal="left"/>
    </xf>
    <xf numFmtId="1" fontId="43" fillId="2" borderId="1" xfId="0" applyNumberFormat="1" applyFont="1" applyFill="1" applyBorder="1" applyAlignment="1">
      <alignment horizontal="left"/>
    </xf>
    <xf numFmtId="0" fontId="46" fillId="2" borderId="1" xfId="0" applyFont="1" applyFill="1" applyBorder="1" applyAlignment="1">
      <alignment horizontal="left"/>
    </xf>
    <xf numFmtId="0" fontId="41" fillId="2" borderId="1" xfId="0" applyFont="1" applyFill="1" applyBorder="1" applyAlignment="1">
      <alignment horizontal="left"/>
    </xf>
    <xf numFmtId="187" fontId="41" fillId="2" borderId="1" xfId="0" applyNumberFormat="1" applyFont="1" applyFill="1" applyBorder="1" applyAlignment="1">
      <alignment horizontal="left"/>
    </xf>
    <xf numFmtId="0" fontId="22" fillId="2" borderId="1" xfId="4" applyFont="1" applyFill="1" applyBorder="1" applyAlignment="1">
      <alignment horizontal="left" vertical="center"/>
    </xf>
    <xf numFmtId="0" fontId="22" fillId="2" borderId="8" xfId="4" applyFont="1" applyFill="1" applyBorder="1" applyAlignment="1">
      <alignment horizontal="left" vertical="center"/>
    </xf>
    <xf numFmtId="0" fontId="6" fillId="2" borderId="1" xfId="0" applyFont="1" applyFill="1" applyBorder="1" applyAlignment="1">
      <alignment horizontal="right"/>
    </xf>
    <xf numFmtId="174" fontId="15" fillId="2" borderId="1" xfId="0" applyNumberFormat="1" applyFont="1" applyFill="1" applyBorder="1" applyAlignment="1">
      <alignment horizontal="center"/>
    </xf>
    <xf numFmtId="0" fontId="20" fillId="0" borderId="0" xfId="0" applyFont="1"/>
    <xf numFmtId="0" fontId="24" fillId="0" borderId="0" xfId="0" applyFont="1" applyAlignment="1">
      <alignment horizontal="left"/>
    </xf>
    <xf numFmtId="0" fontId="29" fillId="0" borderId="0" xfId="0" applyFont="1"/>
    <xf numFmtId="0" fontId="27" fillId="0" borderId="0" xfId="0" applyFont="1" applyAlignment="1">
      <alignment horizontal="left"/>
    </xf>
    <xf numFmtId="164" fontId="27" fillId="0" borderId="0" xfId="0" applyNumberFormat="1" applyFont="1" applyAlignment="1">
      <alignment horizontal="left"/>
    </xf>
    <xf numFmtId="177" fontId="24" fillId="0" borderId="0" xfId="0" applyNumberFormat="1" applyFont="1" applyAlignment="1">
      <alignment horizontal="left"/>
    </xf>
    <xf numFmtId="0" fontId="20" fillId="0" borderId="0" xfId="0" applyFont="1" applyAlignment="1">
      <alignment horizontal="left"/>
    </xf>
    <xf numFmtId="0" fontId="50" fillId="4" borderId="0" xfId="0" applyFont="1" applyFill="1"/>
    <xf numFmtId="0" fontId="50" fillId="0" borderId="0" xfId="0" applyFont="1"/>
    <xf numFmtId="0" fontId="23" fillId="0" borderId="5" xfId="0" applyFont="1" applyBorder="1"/>
    <xf numFmtId="0" fontId="50" fillId="0" borderId="5" xfId="0" applyFont="1" applyBorder="1"/>
    <xf numFmtId="0" fontId="50" fillId="5" borderId="0" xfId="0" applyFont="1" applyFill="1"/>
    <xf numFmtId="0" fontId="50" fillId="6" borderId="0" xfId="0" applyFont="1" applyFill="1"/>
    <xf numFmtId="0" fontId="50" fillId="7" borderId="0" xfId="0" applyFont="1" applyFill="1"/>
    <xf numFmtId="0" fontId="50" fillId="8" borderId="0" xfId="0" applyFont="1" applyFill="1"/>
    <xf numFmtId="0" fontId="50" fillId="0" borderId="0" xfId="0" applyFont="1" applyAlignment="1">
      <alignment wrapText="1"/>
    </xf>
    <xf numFmtId="0" fontId="51" fillId="0" borderId="0" xfId="0" applyFont="1" applyAlignment="1">
      <alignment horizontal="left" vertical="center" wrapText="1"/>
    </xf>
    <xf numFmtId="0" fontId="23" fillId="0" borderId="15" xfId="0" applyFont="1" applyBorder="1"/>
    <xf numFmtId="0" fontId="50" fillId="0" borderId="16" xfId="0" applyFont="1" applyBorder="1"/>
    <xf numFmtId="0" fontId="20" fillId="2" borderId="7" xfId="4" applyFont="1" applyFill="1" applyBorder="1" applyAlignment="1">
      <alignment horizontal="center" vertical="center"/>
    </xf>
    <xf numFmtId="0" fontId="21" fillId="3" borderId="0" xfId="2" applyFont="1" applyFill="1" applyAlignment="1">
      <alignment horizontal="center"/>
    </xf>
    <xf numFmtId="0" fontId="50" fillId="2" borderId="0" xfId="4" applyFont="1" applyFill="1" applyAlignment="1">
      <alignment horizontal="left"/>
    </xf>
    <xf numFmtId="0" fontId="50" fillId="2" borderId="0" xfId="4" applyFont="1" applyFill="1" applyAlignment="1">
      <alignment vertical="center"/>
    </xf>
    <xf numFmtId="0" fontId="29" fillId="3" borderId="0" xfId="2" applyFont="1" applyFill="1" applyAlignment="1">
      <alignment horizontal="left"/>
    </xf>
    <xf numFmtId="0" fontId="24" fillId="2" borderId="5" xfId="4" applyFont="1" applyFill="1" applyBorder="1" applyAlignment="1">
      <alignment horizontal="center" vertical="center"/>
    </xf>
    <xf numFmtId="0" fontId="39" fillId="2" borderId="0" xfId="4" applyFont="1" applyFill="1" applyAlignment="1">
      <alignment vertical="center"/>
    </xf>
    <xf numFmtId="0" fontId="20" fillId="3" borderId="0" xfId="2" applyFont="1" applyFill="1" applyAlignment="1">
      <alignment horizontal="right"/>
    </xf>
    <xf numFmtId="1" fontId="27" fillId="3" borderId="0" xfId="2" applyNumberFormat="1" applyFont="1" applyFill="1" applyAlignment="1">
      <alignment horizontal="center"/>
    </xf>
    <xf numFmtId="2" fontId="27" fillId="3" borderId="0" xfId="2" applyNumberFormat="1" applyFont="1" applyFill="1" applyAlignment="1">
      <alignment horizontal="center"/>
    </xf>
    <xf numFmtId="0" fontId="22" fillId="2" borderId="9" xfId="4" applyFont="1" applyFill="1" applyBorder="1" applyAlignment="1">
      <alignment vertical="center"/>
    </xf>
    <xf numFmtId="0" fontId="22" fillId="2" borderId="10" xfId="4" applyFont="1" applyFill="1" applyBorder="1" applyAlignment="1">
      <alignment vertical="center"/>
    </xf>
    <xf numFmtId="0" fontId="51" fillId="0" borderId="0" xfId="0" applyFont="1" applyAlignment="1">
      <alignment horizontal="left" vertical="center" indent="7"/>
    </xf>
    <xf numFmtId="0" fontId="50" fillId="9" borderId="0" xfId="0" applyFont="1" applyFill="1"/>
    <xf numFmtId="0" fontId="50" fillId="9" borderId="0" xfId="0" applyFont="1" applyFill="1" applyAlignment="1">
      <alignment wrapText="1"/>
    </xf>
    <xf numFmtId="2" fontId="50" fillId="5" borderId="0" xfId="0" applyNumberFormat="1" applyFont="1" applyFill="1"/>
    <xf numFmtId="0" fontId="2" fillId="0" borderId="0" xfId="5"/>
    <xf numFmtId="0" fontId="33" fillId="0" borderId="5" xfId="5" applyFont="1" applyBorder="1"/>
    <xf numFmtId="191" fontId="33" fillId="0" borderId="5" xfId="5" applyNumberFormat="1" applyFont="1" applyBorder="1"/>
    <xf numFmtId="1" fontId="33" fillId="0" borderId="5" xfId="5" applyNumberFormat="1" applyFont="1" applyBorder="1"/>
    <xf numFmtId="0" fontId="33" fillId="0" borderId="5" xfId="5" applyFont="1" applyBorder="1" applyAlignment="1">
      <alignment horizontal="left"/>
    </xf>
    <xf numFmtId="0" fontId="61" fillId="0" borderId="5" xfId="5" applyFont="1" applyBorder="1"/>
    <xf numFmtId="0" fontId="61" fillId="0" borderId="5" xfId="5" applyFont="1" applyBorder="1" applyAlignment="1">
      <alignment horizontal="left"/>
    </xf>
    <xf numFmtId="1" fontId="61" fillId="0" borderId="5" xfId="5" applyNumberFormat="1" applyFont="1" applyBorder="1"/>
    <xf numFmtId="0" fontId="33" fillId="0" borderId="12" xfId="5" applyFont="1" applyBorder="1"/>
    <xf numFmtId="1" fontId="33" fillId="0" borderId="12" xfId="5" applyNumberFormat="1" applyFont="1" applyBorder="1"/>
    <xf numFmtId="0" fontId="33" fillId="0" borderId="0" xfId="5" applyFont="1"/>
    <xf numFmtId="1" fontId="33" fillId="0" borderId="0" xfId="5" applyNumberFormat="1" applyFont="1"/>
    <xf numFmtId="0" fontId="33" fillId="0" borderId="0" xfId="5" applyFont="1" applyAlignment="1">
      <alignment wrapText="1"/>
    </xf>
    <xf numFmtId="0" fontId="33" fillId="0" borderId="0" xfId="5" applyFont="1" applyAlignment="1">
      <alignment horizontal="left"/>
    </xf>
    <xf numFmtId="0" fontId="50" fillId="0" borderId="18" xfId="0" applyFont="1" applyBorder="1"/>
    <xf numFmtId="0" fontId="50" fillId="0" borderId="19" xfId="0" applyFont="1" applyBorder="1"/>
    <xf numFmtId="0" fontId="50" fillId="0" borderId="20" xfId="0" applyFont="1" applyBorder="1"/>
    <xf numFmtId="0" fontId="50" fillId="0" borderId="21" xfId="0" applyFont="1" applyBorder="1"/>
    <xf numFmtId="0" fontId="50" fillId="0" borderId="22" xfId="0" applyFont="1" applyBorder="1"/>
    <xf numFmtId="0" fontId="50" fillId="0" borderId="23" xfId="0" applyFont="1" applyBorder="1"/>
    <xf numFmtId="0" fontId="50" fillId="0" borderId="24" xfId="0" applyFont="1" applyBorder="1"/>
    <xf numFmtId="0" fontId="50" fillId="0" borderId="4" xfId="0" applyFont="1" applyBorder="1"/>
    <xf numFmtId="0" fontId="50" fillId="0" borderId="25" xfId="0" applyFont="1" applyBorder="1"/>
    <xf numFmtId="0" fontId="50" fillId="0" borderId="26" xfId="0" applyFont="1" applyBorder="1"/>
    <xf numFmtId="0" fontId="50" fillId="0" borderId="27" xfId="0" applyFont="1" applyBorder="1"/>
    <xf numFmtId="0" fontId="50" fillId="0" borderId="28" xfId="0" applyFont="1" applyBorder="1"/>
    <xf numFmtId="0" fontId="50" fillId="10" borderId="0" xfId="0" applyFont="1" applyFill="1"/>
    <xf numFmtId="0" fontId="0" fillId="2" borderId="0" xfId="0" applyFill="1" applyAlignment="1">
      <alignment horizontal="center" vertical="center"/>
    </xf>
    <xf numFmtId="0" fontId="0" fillId="2" borderId="0" xfId="0" applyFill="1" applyAlignment="1">
      <alignment horizontal="left" vertical="center"/>
    </xf>
    <xf numFmtId="0" fontId="0" fillId="2" borderId="9" xfId="0" applyFill="1" applyBorder="1"/>
    <xf numFmtId="0" fontId="0" fillId="2" borderId="9" xfId="0" applyFill="1" applyBorder="1" applyAlignment="1">
      <alignment horizontal="left" vertical="center"/>
    </xf>
    <xf numFmtId="0" fontId="0" fillId="2" borderId="9" xfId="0" applyFill="1" applyBorder="1" applyAlignment="1">
      <alignment horizontal="left"/>
    </xf>
    <xf numFmtId="0" fontId="0" fillId="2" borderId="9" xfId="0" applyFill="1" applyBorder="1" applyAlignment="1">
      <alignment horizontal="right"/>
    </xf>
    <xf numFmtId="0" fontId="0" fillId="2" borderId="10" xfId="0" applyFill="1" applyBorder="1"/>
    <xf numFmtId="0" fontId="2" fillId="2" borderId="0" xfId="0" applyFont="1" applyFill="1"/>
    <xf numFmtId="49" fontId="0" fillId="2" borderId="0" xfId="0" applyNumberFormat="1" applyFill="1"/>
    <xf numFmtId="0" fontId="0" fillId="2" borderId="2" xfId="0" applyFill="1" applyBorder="1" applyAlignment="1">
      <alignment horizontal="right"/>
    </xf>
    <xf numFmtId="0" fontId="0" fillId="2" borderId="9" xfId="0" applyFill="1" applyBorder="1" applyAlignment="1">
      <alignment horizontal="center"/>
    </xf>
    <xf numFmtId="169" fontId="4" fillId="2" borderId="5" xfId="0" applyNumberFormat="1" applyFont="1" applyFill="1" applyBorder="1" applyAlignment="1">
      <alignment horizontal="left" vertical="center"/>
    </xf>
    <xf numFmtId="0" fontId="0" fillId="2" borderId="0" xfId="0" applyFill="1" applyAlignment="1">
      <alignment vertical="center"/>
    </xf>
    <xf numFmtId="0" fontId="0" fillId="2" borderId="3" xfId="0" applyFill="1" applyBorder="1" applyAlignment="1">
      <alignment horizontal="right"/>
    </xf>
    <xf numFmtId="166" fontId="4" fillId="2" borderId="5" xfId="0" applyNumberFormat="1" applyFont="1" applyFill="1" applyBorder="1" applyAlignment="1">
      <alignment horizontal="left" vertical="center"/>
    </xf>
    <xf numFmtId="170" fontId="4" fillId="2" borderId="0" xfId="0" applyNumberFormat="1" applyFont="1" applyFill="1" applyAlignment="1">
      <alignment horizontal="center" vertical="center"/>
    </xf>
    <xf numFmtId="0" fontId="2" fillId="2" borderId="2" xfId="0" applyFont="1" applyFill="1" applyBorder="1" applyAlignment="1">
      <alignment horizontal="right"/>
    </xf>
    <xf numFmtId="170" fontId="4" fillId="2" borderId="5" xfId="0" applyNumberFormat="1" applyFont="1" applyFill="1" applyBorder="1" applyAlignment="1">
      <alignment horizontal="left" vertical="center"/>
    </xf>
    <xf numFmtId="170" fontId="4" fillId="2" borderId="0" xfId="0" applyNumberFormat="1" applyFont="1" applyFill="1" applyAlignment="1">
      <alignment vertical="center"/>
    </xf>
    <xf numFmtId="0" fontId="2" fillId="2" borderId="4" xfId="0" applyFont="1" applyFill="1" applyBorder="1" applyAlignment="1">
      <alignment horizontal="right"/>
    </xf>
    <xf numFmtId="0" fontId="2" fillId="2" borderId="3" xfId="0" applyFont="1" applyFill="1" applyBorder="1" applyAlignment="1">
      <alignment horizontal="right"/>
    </xf>
    <xf numFmtId="173" fontId="4" fillId="2" borderId="5" xfId="0" applyNumberFormat="1" applyFont="1" applyFill="1" applyBorder="1" applyAlignment="1">
      <alignment horizontal="left"/>
    </xf>
    <xf numFmtId="173" fontId="4" fillId="2" borderId="0" xfId="0" applyNumberFormat="1" applyFont="1" applyFill="1" applyAlignment="1">
      <alignment horizontal="left"/>
    </xf>
    <xf numFmtId="168" fontId="4" fillId="2" borderId="5" xfId="0" applyNumberFormat="1" applyFont="1" applyFill="1" applyBorder="1" applyAlignment="1">
      <alignment horizontal="left" vertical="center"/>
    </xf>
    <xf numFmtId="0" fontId="0" fillId="2" borderId="6" xfId="0" applyFill="1" applyBorder="1" applyAlignment="1">
      <alignment horizontal="right"/>
    </xf>
    <xf numFmtId="2" fontId="5" fillId="2" borderId="6" xfId="0" applyNumberFormat="1" applyFont="1" applyFill="1" applyBorder="1" applyAlignment="1">
      <alignment horizontal="center" vertical="center"/>
    </xf>
    <xf numFmtId="0" fontId="0" fillId="2" borderId="6" xfId="0" applyFill="1" applyBorder="1" applyAlignment="1">
      <alignment horizontal="center"/>
    </xf>
    <xf numFmtId="0" fontId="5" fillId="2" borderId="6" xfId="0" applyFont="1" applyFill="1" applyBorder="1" applyAlignment="1">
      <alignment horizontal="center" vertical="center"/>
    </xf>
    <xf numFmtId="2" fontId="65" fillId="2" borderId="0" xfId="0" applyNumberFormat="1" applyFont="1" applyFill="1" applyAlignment="1">
      <alignment horizontal="left" vertical="center"/>
    </xf>
    <xf numFmtId="0" fontId="0" fillId="2" borderId="4" xfId="0" applyFill="1" applyBorder="1" applyAlignment="1">
      <alignment horizontal="right"/>
    </xf>
    <xf numFmtId="0" fontId="64" fillId="2" borderId="0" xfId="0" applyFont="1" applyFill="1"/>
    <xf numFmtId="0" fontId="5" fillId="2" borderId="0" xfId="0" applyFont="1" applyFill="1" applyAlignment="1">
      <alignment horizontal="left" vertical="center"/>
    </xf>
    <xf numFmtId="0" fontId="4" fillId="2" borderId="5" xfId="0" applyFont="1" applyFill="1" applyBorder="1" applyAlignment="1">
      <alignment horizontal="center"/>
    </xf>
    <xf numFmtId="0" fontId="4" fillId="2" borderId="0" xfId="0" applyFont="1" applyFill="1"/>
    <xf numFmtId="192" fontId="5" fillId="2" borderId="6" xfId="0" applyNumberFormat="1" applyFont="1" applyFill="1" applyBorder="1"/>
    <xf numFmtId="165" fontId="5" fillId="2" borderId="6" xfId="0" applyNumberFormat="1" applyFont="1" applyFill="1" applyBorder="1" applyAlignment="1">
      <alignment vertical="center"/>
    </xf>
    <xf numFmtId="165" fontId="5" fillId="2" borderId="0" xfId="0" applyNumberFormat="1" applyFont="1" applyFill="1" applyAlignment="1">
      <alignment vertical="center"/>
    </xf>
    <xf numFmtId="0" fontId="4" fillId="2" borderId="0" xfId="0" applyFont="1" applyFill="1" applyAlignment="1">
      <alignment horizontal="center" vertical="center"/>
    </xf>
    <xf numFmtId="0" fontId="0" fillId="2" borderId="6" xfId="0" applyFill="1" applyBorder="1" applyAlignment="1">
      <alignment horizontal="left" vertical="center"/>
    </xf>
    <xf numFmtId="0" fontId="0" fillId="2" borderId="4" xfId="0" applyFill="1" applyBorder="1" applyAlignment="1">
      <alignment vertical="center"/>
    </xf>
    <xf numFmtId="170" fontId="4" fillId="2" borderId="17" xfId="0" applyNumberFormat="1" applyFont="1" applyFill="1" applyBorder="1" applyAlignment="1">
      <alignment horizontal="center" vertical="center"/>
    </xf>
    <xf numFmtId="0" fontId="4" fillId="2" borderId="5" xfId="0" applyFont="1" applyFill="1" applyBorder="1" applyAlignment="1">
      <alignment horizontal="center" vertical="center"/>
    </xf>
    <xf numFmtId="165" fontId="5" fillId="2" borderId="13" xfId="0" applyNumberFormat="1" applyFont="1" applyFill="1" applyBorder="1" applyAlignment="1">
      <alignment horizontal="left" vertical="center"/>
    </xf>
    <xf numFmtId="2" fontId="66" fillId="11" borderId="0" xfId="0" applyNumberFormat="1" applyFont="1" applyFill="1" applyAlignment="1">
      <alignment horizontal="center" vertical="center"/>
    </xf>
    <xf numFmtId="2" fontId="67" fillId="11" borderId="0" xfId="0" applyNumberFormat="1" applyFont="1" applyFill="1" applyAlignment="1">
      <alignment horizontal="center" vertical="center"/>
    </xf>
    <xf numFmtId="2" fontId="68" fillId="11" borderId="0" xfId="0" applyNumberFormat="1" applyFont="1" applyFill="1" applyAlignment="1">
      <alignment horizontal="center" vertical="center"/>
    </xf>
    <xf numFmtId="193" fontId="4" fillId="2" borderId="0" xfId="0" applyNumberFormat="1" applyFont="1" applyFill="1" applyAlignment="1">
      <alignment vertical="center"/>
    </xf>
    <xf numFmtId="194" fontId="4" fillId="2" borderId="0" xfId="0" applyNumberFormat="1" applyFont="1" applyFill="1" applyAlignment="1">
      <alignment horizontal="left" vertical="center"/>
    </xf>
    <xf numFmtId="0" fontId="0" fillId="2" borderId="7" xfId="0" applyFill="1" applyBorder="1" applyAlignment="1">
      <alignment vertical="center"/>
    </xf>
    <xf numFmtId="2" fontId="69" fillId="11" borderId="0" xfId="0" applyNumberFormat="1" applyFont="1" applyFill="1" applyAlignment="1">
      <alignment horizontal="center" vertical="center"/>
    </xf>
    <xf numFmtId="193" fontId="64" fillId="2" borderId="0" xfId="0" applyNumberFormat="1" applyFont="1" applyFill="1" applyAlignment="1">
      <alignment vertical="center"/>
    </xf>
    <xf numFmtId="194" fontId="64" fillId="2" borderId="0" xfId="0" applyNumberFormat="1" applyFont="1" applyFill="1" applyAlignment="1">
      <alignment horizontal="left" vertical="center"/>
    </xf>
    <xf numFmtId="193" fontId="5" fillId="2" borderId="0" xfId="0" applyNumberFormat="1" applyFont="1" applyFill="1" applyAlignment="1">
      <alignment vertical="center"/>
    </xf>
    <xf numFmtId="194" fontId="5" fillId="2" borderId="0" xfId="0" applyNumberFormat="1" applyFont="1" applyFill="1" applyAlignment="1">
      <alignment horizontal="left" vertical="center"/>
    </xf>
    <xf numFmtId="0" fontId="6" fillId="2" borderId="0" xfId="0" applyFont="1" applyFill="1" applyAlignment="1">
      <alignment vertical="center"/>
    </xf>
    <xf numFmtId="0" fontId="2" fillId="2" borderId="6" xfId="0" applyFont="1" applyFill="1" applyBorder="1" applyAlignment="1">
      <alignment horizontal="center"/>
    </xf>
    <xf numFmtId="0" fontId="5" fillId="2" borderId="6" xfId="0" applyFont="1" applyFill="1" applyBorder="1" applyAlignment="1">
      <alignment horizontal="center"/>
    </xf>
    <xf numFmtId="165" fontId="5" fillId="2" borderId="6" xfId="0" applyNumberFormat="1" applyFont="1" applyFill="1" applyBorder="1" applyAlignment="1">
      <alignment horizontal="left" vertical="center"/>
    </xf>
    <xf numFmtId="0" fontId="2" fillId="2" borderId="0" xfId="0" applyFont="1" applyFill="1" applyAlignment="1">
      <alignment horizontal="center"/>
    </xf>
    <xf numFmtId="0" fontId="5" fillId="2" borderId="0" xfId="0" applyFont="1" applyFill="1" applyAlignment="1">
      <alignment horizontal="center"/>
    </xf>
    <xf numFmtId="165" fontId="5" fillId="2" borderId="0" xfId="0" applyNumberFormat="1" applyFont="1" applyFill="1" applyAlignment="1">
      <alignment horizontal="left" vertical="center"/>
    </xf>
    <xf numFmtId="0" fontId="64" fillId="2" borderId="1" xfId="0" applyFont="1" applyFill="1" applyBorder="1" applyAlignment="1">
      <alignment horizontal="center" vertical="justify"/>
    </xf>
    <xf numFmtId="0" fontId="0" fillId="11" borderId="5" xfId="0" applyFill="1" applyBorder="1" applyAlignment="1">
      <alignment horizontal="center"/>
    </xf>
    <xf numFmtId="0" fontId="2" fillId="11" borderId="5" xfId="0" applyFont="1" applyFill="1" applyBorder="1" applyAlignment="1">
      <alignment horizontal="center"/>
    </xf>
    <xf numFmtId="0" fontId="0" fillId="2" borderId="5" xfId="0" applyFill="1" applyBorder="1" applyAlignment="1">
      <alignment horizontal="center" vertical="center"/>
    </xf>
    <xf numFmtId="0" fontId="0" fillId="2" borderId="5" xfId="0" applyFill="1" applyBorder="1" applyAlignment="1">
      <alignment horizontal="center"/>
    </xf>
    <xf numFmtId="0" fontId="0" fillId="0" borderId="5" xfId="0" applyBorder="1" applyAlignment="1">
      <alignment horizontal="center"/>
    </xf>
    <xf numFmtId="0" fontId="0" fillId="2" borderId="4" xfId="0" applyFill="1" applyBorder="1" applyAlignment="1">
      <alignment horizontal="center" vertical="center"/>
    </xf>
    <xf numFmtId="0" fontId="0" fillId="2" borderId="2" xfId="0" applyFill="1" applyBorder="1" applyAlignment="1">
      <alignment horizontal="center" vertical="center"/>
    </xf>
    <xf numFmtId="0" fontId="0" fillId="2" borderId="10" xfId="0" applyFill="1" applyBorder="1" applyAlignment="1">
      <alignment horizontal="center" vertical="center"/>
    </xf>
    <xf numFmtId="0" fontId="0" fillId="2" borderId="7" xfId="0" applyFill="1" applyBorder="1" applyAlignment="1">
      <alignment horizontal="center" vertical="center"/>
    </xf>
    <xf numFmtId="0" fontId="0" fillId="2" borderId="3" xfId="0" applyFill="1" applyBorder="1" applyAlignment="1">
      <alignment horizontal="center" vertical="center"/>
    </xf>
    <xf numFmtId="0" fontId="0" fillId="2" borderId="8" xfId="0" applyFill="1" applyBorder="1" applyAlignment="1">
      <alignment horizontal="center" vertical="center"/>
    </xf>
    <xf numFmtId="0" fontId="4" fillId="2" borderId="4" xfId="0" applyFont="1" applyFill="1" applyBorder="1" applyAlignment="1">
      <alignment horizontal="center" vertical="center"/>
    </xf>
    <xf numFmtId="0" fontId="0" fillId="2" borderId="7" xfId="0" applyFill="1" applyBorder="1" applyAlignment="1">
      <alignment horizontal="left" vertical="center"/>
    </xf>
    <xf numFmtId="49" fontId="0" fillId="2" borderId="1" xfId="0" applyNumberFormat="1" applyFill="1" applyBorder="1"/>
    <xf numFmtId="0" fontId="0" fillId="2" borderId="8" xfId="0" applyFill="1" applyBorder="1" applyAlignment="1">
      <alignment horizontal="left" vertical="center"/>
    </xf>
    <xf numFmtId="0" fontId="2" fillId="3" borderId="0" xfId="2" applyFill="1" applyAlignment="1">
      <alignment horizontal="center"/>
    </xf>
    <xf numFmtId="0" fontId="70" fillId="3" borderId="0" xfId="2" applyFont="1" applyFill="1" applyAlignment="1">
      <alignment horizontal="left"/>
    </xf>
    <xf numFmtId="195" fontId="70" fillId="3" borderId="0" xfId="2" applyNumberFormat="1" applyFont="1" applyFill="1" applyAlignment="1">
      <alignment horizontal="left"/>
    </xf>
    <xf numFmtId="0" fontId="2" fillId="3" borderId="0" xfId="2" applyFill="1" applyAlignment="1">
      <alignment horizontal="left"/>
    </xf>
    <xf numFmtId="0" fontId="0" fillId="3" borderId="0" xfId="2" applyFont="1" applyFill="1"/>
    <xf numFmtId="0" fontId="2" fillId="3" borderId="30" xfId="2" applyFill="1" applyBorder="1" applyAlignment="1">
      <alignment horizontal="center"/>
    </xf>
    <xf numFmtId="0" fontId="6" fillId="3" borderId="9" xfId="2" applyFont="1" applyFill="1" applyBorder="1" applyAlignment="1">
      <alignment horizontal="left"/>
    </xf>
    <xf numFmtId="0" fontId="2" fillId="3" borderId="31" xfId="2" applyFill="1" applyBorder="1" applyAlignment="1">
      <alignment horizontal="center"/>
    </xf>
    <xf numFmtId="0" fontId="5" fillId="3" borderId="31" xfId="2" applyFont="1" applyFill="1" applyBorder="1" applyAlignment="1">
      <alignment horizontal="right"/>
    </xf>
    <xf numFmtId="0" fontId="5" fillId="3" borderId="32" xfId="2" applyFont="1" applyFill="1" applyBorder="1" applyAlignment="1">
      <alignment horizontal="left"/>
    </xf>
    <xf numFmtId="0" fontId="2" fillId="3" borderId="33" xfId="2" applyFill="1" applyBorder="1" applyAlignment="1">
      <alignment horizontal="center"/>
    </xf>
    <xf numFmtId="0" fontId="6" fillId="3" borderId="0" xfId="2" applyFont="1" applyFill="1" applyAlignment="1">
      <alignment horizontal="left"/>
    </xf>
    <xf numFmtId="0" fontId="5" fillId="3" borderId="0" xfId="2" applyFont="1" applyFill="1" applyAlignment="1">
      <alignment horizontal="right"/>
    </xf>
    <xf numFmtId="0" fontId="5" fillId="3" borderId="34" xfId="2" applyFont="1" applyFill="1" applyBorder="1" applyAlignment="1">
      <alignment horizontal="left"/>
    </xf>
    <xf numFmtId="0" fontId="5" fillId="3" borderId="0" xfId="2" applyFont="1" applyFill="1" applyAlignment="1">
      <alignment horizontal="center"/>
    </xf>
    <xf numFmtId="0" fontId="71" fillId="3" borderId="0" xfId="2" applyFont="1" applyFill="1" applyAlignment="1">
      <alignment horizontal="left"/>
    </xf>
    <xf numFmtId="0" fontId="64" fillId="3" borderId="0" xfId="2" applyFont="1" applyFill="1" applyAlignment="1">
      <alignment horizontal="center"/>
    </xf>
    <xf numFmtId="0" fontId="2" fillId="3" borderId="0" xfId="2" applyFill="1" applyAlignment="1">
      <alignment horizontal="right"/>
    </xf>
    <xf numFmtId="196" fontId="72" fillId="3" borderId="5" xfId="2" applyNumberFormat="1" applyFont="1" applyFill="1" applyBorder="1" applyAlignment="1">
      <alignment horizontal="center"/>
    </xf>
    <xf numFmtId="0" fontId="2" fillId="3" borderId="34" xfId="2" applyFill="1" applyBorder="1" applyAlignment="1">
      <alignment horizontal="center"/>
    </xf>
    <xf numFmtId="196" fontId="5" fillId="3" borderId="0" xfId="2" applyNumberFormat="1" applyFont="1" applyFill="1" applyAlignment="1">
      <alignment horizontal="center"/>
    </xf>
    <xf numFmtId="0" fontId="71" fillId="3" borderId="34" xfId="2" applyFont="1" applyFill="1" applyBorder="1" applyAlignment="1">
      <alignment horizontal="left"/>
    </xf>
    <xf numFmtId="1" fontId="2" fillId="3" borderId="0" xfId="2" applyNumberFormat="1" applyFill="1" applyAlignment="1">
      <alignment horizontal="center"/>
    </xf>
    <xf numFmtId="164" fontId="2" fillId="3" borderId="0" xfId="2" applyNumberFormat="1" applyFill="1" applyAlignment="1">
      <alignment horizontal="center"/>
    </xf>
    <xf numFmtId="0" fontId="0" fillId="3" borderId="0" xfId="2" applyFont="1" applyFill="1" applyAlignment="1">
      <alignment horizontal="right" vertical="top" wrapText="1"/>
    </xf>
    <xf numFmtId="196" fontId="4" fillId="3" borderId="0" xfId="2" applyNumberFormat="1" applyFont="1" applyFill="1" applyAlignment="1">
      <alignment horizontal="center"/>
    </xf>
    <xf numFmtId="197" fontId="72" fillId="3" borderId="29" xfId="2" applyNumberFormat="1" applyFont="1" applyFill="1" applyBorder="1" applyAlignment="1">
      <alignment horizontal="center"/>
    </xf>
    <xf numFmtId="0" fontId="0" fillId="3" borderId="0" xfId="2" applyFont="1" applyFill="1" applyAlignment="1">
      <alignment horizontal="center"/>
    </xf>
    <xf numFmtId="0" fontId="4" fillId="3" borderId="0" xfId="2" applyFont="1" applyFill="1" applyAlignment="1">
      <alignment horizontal="center"/>
    </xf>
    <xf numFmtId="0" fontId="2" fillId="3" borderId="2" xfId="2" applyFill="1" applyBorder="1" applyAlignment="1">
      <alignment horizontal="left"/>
    </xf>
    <xf numFmtId="0" fontId="2" fillId="3" borderId="9" xfId="2" applyFill="1" applyBorder="1" applyAlignment="1">
      <alignment horizontal="center"/>
    </xf>
    <xf numFmtId="2" fontId="2" fillId="3" borderId="9" xfId="2" applyNumberFormat="1" applyFill="1" applyBorder="1" applyAlignment="1">
      <alignment horizontal="center"/>
    </xf>
    <xf numFmtId="0" fontId="2" fillId="3" borderId="10" xfId="2" applyFill="1" applyBorder="1" applyAlignment="1">
      <alignment horizontal="center"/>
    </xf>
    <xf numFmtId="0" fontId="2" fillId="3" borderId="4" xfId="2" applyFill="1" applyBorder="1" applyAlignment="1">
      <alignment horizontal="center"/>
    </xf>
    <xf numFmtId="2" fontId="2" fillId="3" borderId="0" xfId="2" applyNumberFormat="1" applyFill="1" applyAlignment="1">
      <alignment horizontal="center"/>
    </xf>
    <xf numFmtId="0" fontId="2" fillId="3" borderId="7" xfId="2" applyFill="1" applyBorder="1" applyAlignment="1">
      <alignment horizontal="center"/>
    </xf>
    <xf numFmtId="0" fontId="6" fillId="3" borderId="0" xfId="2" applyFont="1" applyFill="1" applyAlignment="1">
      <alignment horizontal="right"/>
    </xf>
    <xf numFmtId="198" fontId="72" fillId="3" borderId="29" xfId="2" applyNumberFormat="1" applyFont="1" applyFill="1" applyBorder="1" applyAlignment="1">
      <alignment horizontal="center"/>
    </xf>
    <xf numFmtId="2" fontId="5" fillId="3" borderId="0" xfId="2" applyNumberFormat="1" applyFont="1" applyFill="1" applyAlignment="1">
      <alignment horizontal="center"/>
    </xf>
    <xf numFmtId="1" fontId="5" fillId="3" borderId="0" xfId="2" applyNumberFormat="1" applyFont="1" applyFill="1" applyAlignment="1">
      <alignment horizontal="center"/>
    </xf>
    <xf numFmtId="0" fontId="2" fillId="3" borderId="29" xfId="2" applyFill="1" applyBorder="1" applyAlignment="1">
      <alignment horizontal="center"/>
    </xf>
    <xf numFmtId="0" fontId="0" fillId="3" borderId="29" xfId="2" applyFont="1" applyFill="1" applyBorder="1" applyAlignment="1">
      <alignment horizontal="center"/>
    </xf>
    <xf numFmtId="0" fontId="64" fillId="3" borderId="0" xfId="2" applyFont="1" applyFill="1" applyAlignment="1">
      <alignment horizontal="left"/>
    </xf>
    <xf numFmtId="0" fontId="0" fillId="3" borderId="30" xfId="2" applyFont="1" applyFill="1" applyBorder="1" applyAlignment="1">
      <alignment horizontal="center"/>
    </xf>
    <xf numFmtId="2" fontId="0" fillId="3" borderId="5" xfId="2" applyNumberFormat="1" applyFont="1" applyFill="1" applyBorder="1" applyAlignment="1">
      <alignment horizontal="center"/>
    </xf>
    <xf numFmtId="0" fontId="17" fillId="3" borderId="0" xfId="2" applyFont="1" applyFill="1" applyAlignment="1">
      <alignment horizontal="left"/>
    </xf>
    <xf numFmtId="0" fontId="74" fillId="3" borderId="0" xfId="2" applyFont="1" applyFill="1" applyAlignment="1">
      <alignment horizontal="left"/>
    </xf>
    <xf numFmtId="0" fontId="0" fillId="3" borderId="33" xfId="2" applyFont="1" applyFill="1" applyBorder="1" applyAlignment="1">
      <alignment horizontal="center"/>
    </xf>
    <xf numFmtId="164" fontId="0" fillId="3" borderId="5" xfId="2" applyNumberFormat="1" applyFont="1" applyFill="1" applyBorder="1" applyAlignment="1">
      <alignment horizontal="center"/>
    </xf>
    <xf numFmtId="0" fontId="6" fillId="3" borderId="1" xfId="2" applyFont="1" applyFill="1" applyBorder="1" applyAlignment="1">
      <alignment horizontal="left"/>
    </xf>
    <xf numFmtId="0" fontId="64" fillId="3" borderId="1" xfId="2" applyFont="1" applyFill="1" applyBorder="1" applyAlignment="1">
      <alignment horizontal="left"/>
    </xf>
    <xf numFmtId="0" fontId="64" fillId="3" borderId="1" xfId="2" applyFont="1" applyFill="1" applyBorder="1"/>
    <xf numFmtId="49" fontId="0" fillId="3" borderId="33" xfId="2" applyNumberFormat="1" applyFont="1" applyFill="1" applyBorder="1" applyAlignment="1">
      <alignment horizontal="center"/>
    </xf>
    <xf numFmtId="0" fontId="2" fillId="3" borderId="6" xfId="2" applyFill="1" applyBorder="1" applyAlignment="1">
      <alignment vertical="center"/>
    </xf>
    <xf numFmtId="199" fontId="78" fillId="3" borderId="1" xfId="2" applyNumberFormat="1" applyFont="1" applyFill="1" applyBorder="1" applyAlignment="1">
      <alignment horizontal="left"/>
    </xf>
    <xf numFmtId="0" fontId="74" fillId="3" borderId="0" xfId="2" applyFont="1" applyFill="1" applyAlignment="1">
      <alignment horizontal="center"/>
    </xf>
    <xf numFmtId="0" fontId="0" fillId="3" borderId="35" xfId="2" applyFont="1" applyFill="1" applyBorder="1" applyAlignment="1">
      <alignment horizontal="center"/>
    </xf>
    <xf numFmtId="1" fontId="0" fillId="3" borderId="5" xfId="2" applyNumberFormat="1" applyFont="1" applyFill="1" applyBorder="1" applyAlignment="1">
      <alignment horizontal="center"/>
    </xf>
    <xf numFmtId="0" fontId="0" fillId="3" borderId="7" xfId="2" applyFont="1" applyFill="1" applyBorder="1" applyAlignment="1">
      <alignment horizontal="center"/>
    </xf>
    <xf numFmtId="200" fontId="5" fillId="3" borderId="1" xfId="2" applyNumberFormat="1" applyFont="1" applyFill="1" applyBorder="1" applyAlignment="1">
      <alignment horizontal="left"/>
    </xf>
    <xf numFmtId="0" fontId="79" fillId="3" borderId="0" xfId="2" applyFont="1" applyFill="1" applyAlignment="1">
      <alignment horizontal="left"/>
    </xf>
    <xf numFmtId="2" fontId="5" fillId="3" borderId="0" xfId="2" applyNumberFormat="1" applyFont="1" applyFill="1" applyAlignment="1">
      <alignment horizontal="right"/>
    </xf>
    <xf numFmtId="1" fontId="2" fillId="3" borderId="5" xfId="2" applyNumberFormat="1" applyFill="1" applyBorder="1" applyAlignment="1">
      <alignment horizontal="center"/>
    </xf>
    <xf numFmtId="1" fontId="2" fillId="3" borderId="4" xfId="2" applyNumberFormat="1" applyFill="1" applyBorder="1" applyAlignment="1">
      <alignment horizontal="center"/>
    </xf>
    <xf numFmtId="0" fontId="0" fillId="3" borderId="36" xfId="2" applyFont="1" applyFill="1" applyBorder="1" applyAlignment="1">
      <alignment horizontal="center"/>
    </xf>
    <xf numFmtId="0" fontId="2" fillId="3" borderId="0" xfId="2" applyFill="1"/>
    <xf numFmtId="196" fontId="72" fillId="3" borderId="29" xfId="2" applyNumberFormat="1" applyFont="1" applyFill="1" applyBorder="1" applyAlignment="1">
      <alignment horizontal="center"/>
    </xf>
    <xf numFmtId="0" fontId="72" fillId="3" borderId="29" xfId="2" applyFont="1" applyFill="1" applyBorder="1" applyAlignment="1">
      <alignment horizontal="center"/>
    </xf>
    <xf numFmtId="200" fontId="5" fillId="3" borderId="31" xfId="2" applyNumberFormat="1" applyFont="1" applyFill="1" applyBorder="1" applyAlignment="1">
      <alignment horizontal="center"/>
    </xf>
    <xf numFmtId="177" fontId="80" fillId="3" borderId="0" xfId="2" applyNumberFormat="1" applyFont="1" applyFill="1" applyAlignment="1">
      <alignment horizontal="center"/>
    </xf>
    <xf numFmtId="0" fontId="2" fillId="3" borderId="2" xfId="2" applyFill="1" applyBorder="1" applyAlignment="1">
      <alignment horizontal="center"/>
    </xf>
    <xf numFmtId="2" fontId="2" fillId="3" borderId="5" xfId="2" applyNumberFormat="1" applyFill="1" applyBorder="1" applyAlignment="1">
      <alignment horizontal="center"/>
    </xf>
    <xf numFmtId="200" fontId="5" fillId="3" borderId="0" xfId="2" applyNumberFormat="1" applyFont="1" applyFill="1" applyAlignment="1">
      <alignment horizontal="center"/>
    </xf>
    <xf numFmtId="0" fontId="3" fillId="3" borderId="0" xfId="2" applyFont="1" applyFill="1" applyAlignment="1">
      <alignment horizontal="center"/>
    </xf>
    <xf numFmtId="0" fontId="80" fillId="3" borderId="0" xfId="2" applyFont="1" applyFill="1" applyAlignment="1">
      <alignment horizontal="center"/>
    </xf>
    <xf numFmtId="0" fontId="0" fillId="3" borderId="37" xfId="2" applyFont="1" applyFill="1" applyBorder="1" applyAlignment="1">
      <alignment horizontal="center"/>
    </xf>
    <xf numFmtId="200" fontId="5" fillId="3" borderId="37" xfId="2" applyNumberFormat="1" applyFont="1" applyFill="1" applyBorder="1" applyAlignment="1">
      <alignment horizontal="center"/>
    </xf>
    <xf numFmtId="0" fontId="2" fillId="3" borderId="5" xfId="2" applyFill="1" applyBorder="1" applyAlignment="1">
      <alignment horizontal="center"/>
    </xf>
    <xf numFmtId="200" fontId="5" fillId="3" borderId="36" xfId="2" applyNumberFormat="1" applyFont="1" applyFill="1" applyBorder="1" applyAlignment="1">
      <alignment horizontal="center"/>
    </xf>
    <xf numFmtId="199" fontId="5" fillId="3" borderId="0" xfId="2" applyNumberFormat="1" applyFont="1" applyFill="1" applyAlignment="1">
      <alignment horizontal="right"/>
    </xf>
    <xf numFmtId="0" fontId="0" fillId="3" borderId="3" xfId="2" applyFont="1" applyFill="1" applyBorder="1" applyAlignment="1">
      <alignment horizontal="center"/>
    </xf>
    <xf numFmtId="164" fontId="2" fillId="3" borderId="5" xfId="2" applyNumberFormat="1" applyFill="1" applyBorder="1" applyAlignment="1">
      <alignment horizontal="center"/>
    </xf>
    <xf numFmtId="1" fontId="5" fillId="3" borderId="0" xfId="2" applyNumberFormat="1" applyFont="1" applyFill="1" applyAlignment="1">
      <alignment horizontal="right"/>
    </xf>
    <xf numFmtId="0" fontId="3" fillId="3" borderId="0" xfId="2" applyFont="1" applyFill="1" applyAlignment="1">
      <alignment horizontal="left"/>
    </xf>
    <xf numFmtId="0" fontId="2" fillId="3" borderId="3" xfId="2" applyFill="1" applyBorder="1" applyAlignment="1">
      <alignment horizontal="center"/>
    </xf>
    <xf numFmtId="0" fontId="71" fillId="3" borderId="7" xfId="2" applyFont="1" applyFill="1" applyBorder="1" applyAlignment="1">
      <alignment horizontal="left"/>
    </xf>
    <xf numFmtId="0" fontId="64" fillId="3" borderId="37" xfId="2" applyFont="1" applyFill="1" applyBorder="1" applyAlignment="1">
      <alignment vertical="top" wrapText="1"/>
    </xf>
    <xf numFmtId="0" fontId="5" fillId="3" borderId="37" xfId="2" applyFont="1" applyFill="1" applyBorder="1" applyAlignment="1">
      <alignment vertical="top" wrapText="1"/>
    </xf>
    <xf numFmtId="0" fontId="2" fillId="3" borderId="38" xfId="2" applyFill="1" applyBorder="1" applyAlignment="1">
      <alignment horizontal="center"/>
    </xf>
    <xf numFmtId="0" fontId="64" fillId="3" borderId="0" xfId="2" applyFont="1" applyFill="1" applyAlignment="1">
      <alignment vertical="top" wrapText="1"/>
    </xf>
    <xf numFmtId="0" fontId="5" fillId="3" borderId="0" xfId="2" applyFont="1" applyFill="1" applyAlignment="1">
      <alignment vertical="top" wrapText="1"/>
    </xf>
    <xf numFmtId="0" fontId="2" fillId="3" borderId="1" xfId="2" applyFill="1" applyBorder="1" applyAlignment="1">
      <alignment horizontal="center"/>
    </xf>
    <xf numFmtId="0" fontId="2" fillId="3" borderId="8" xfId="2" applyFill="1" applyBorder="1" applyAlignment="1">
      <alignment horizontal="center"/>
    </xf>
    <xf numFmtId="0" fontId="5" fillId="3" borderId="31" xfId="2" applyFont="1" applyFill="1" applyBorder="1" applyAlignment="1">
      <alignment horizontal="left"/>
    </xf>
    <xf numFmtId="0" fontId="2" fillId="3" borderId="32" xfId="2" applyFill="1" applyBorder="1" applyAlignment="1">
      <alignment horizontal="center"/>
    </xf>
    <xf numFmtId="201" fontId="72" fillId="3" borderId="5" xfId="2" applyNumberFormat="1" applyFont="1" applyFill="1" applyBorder="1" applyAlignment="1">
      <alignment horizontal="left"/>
    </xf>
    <xf numFmtId="164" fontId="5" fillId="3" borderId="0" xfId="2" applyNumberFormat="1" applyFont="1" applyFill="1" applyAlignment="1">
      <alignment horizontal="left"/>
    </xf>
    <xf numFmtId="0" fontId="17" fillId="3" borderId="34" xfId="2" applyFont="1" applyFill="1" applyBorder="1" applyAlignment="1">
      <alignment horizontal="center"/>
    </xf>
    <xf numFmtId="0" fontId="5" fillId="3" borderId="0" xfId="2" applyFont="1" applyFill="1" applyAlignment="1">
      <alignment horizontal="left"/>
    </xf>
    <xf numFmtId="0" fontId="0" fillId="3" borderId="4" xfId="2" applyFont="1" applyFill="1" applyBorder="1" applyAlignment="1">
      <alignment horizontal="center"/>
    </xf>
    <xf numFmtId="0" fontId="5" fillId="3" borderId="0" xfId="2" applyFont="1" applyFill="1"/>
    <xf numFmtId="0" fontId="7" fillId="3" borderId="3" xfId="2" applyFont="1" applyFill="1" applyBorder="1" applyAlignment="1">
      <alignment horizontal="center"/>
    </xf>
    <xf numFmtId="1" fontId="15" fillId="3" borderId="0" xfId="2" applyNumberFormat="1" applyFont="1" applyFill="1" applyAlignment="1">
      <alignment horizontal="right"/>
    </xf>
    <xf numFmtId="0" fontId="2" fillId="3" borderId="30" xfId="2" applyFill="1" applyBorder="1" applyAlignment="1">
      <alignment horizontal="left"/>
    </xf>
    <xf numFmtId="0" fontId="0" fillId="3" borderId="31" xfId="2" applyFont="1" applyFill="1" applyBorder="1" applyAlignment="1">
      <alignment horizontal="left"/>
    </xf>
    <xf numFmtId="0" fontId="0" fillId="3" borderId="39" xfId="2" applyFont="1" applyFill="1" applyBorder="1" applyAlignment="1">
      <alignment horizontal="left"/>
    </xf>
    <xf numFmtId="1" fontId="5" fillId="3" borderId="5" xfId="2" applyNumberFormat="1" applyFont="1" applyFill="1" applyBorder="1" applyAlignment="1">
      <alignment horizontal="left"/>
    </xf>
    <xf numFmtId="0" fontId="2" fillId="3" borderId="35" xfId="2" applyFill="1" applyBorder="1" applyAlignment="1">
      <alignment horizontal="left"/>
    </xf>
    <xf numFmtId="0" fontId="2" fillId="3" borderId="37" xfId="2" applyFill="1" applyBorder="1" applyAlignment="1">
      <alignment horizontal="left"/>
    </xf>
    <xf numFmtId="0" fontId="2" fillId="3" borderId="40" xfId="2" applyFill="1" applyBorder="1" applyAlignment="1">
      <alignment horizontal="left"/>
    </xf>
    <xf numFmtId="1" fontId="5" fillId="3" borderId="0" xfId="2" applyNumberFormat="1" applyFont="1" applyFill="1"/>
    <xf numFmtId="0" fontId="0" fillId="3" borderId="2" xfId="2" applyFont="1" applyFill="1" applyBorder="1"/>
    <xf numFmtId="0" fontId="2" fillId="3" borderId="10" xfId="2" applyFill="1" applyBorder="1"/>
    <xf numFmtId="0" fontId="0" fillId="3" borderId="2" xfId="2" applyFont="1" applyFill="1" applyBorder="1" applyAlignment="1">
      <alignment horizontal="center"/>
    </xf>
    <xf numFmtId="1" fontId="0" fillId="3" borderId="0" xfId="2" applyNumberFormat="1" applyFont="1" applyFill="1"/>
    <xf numFmtId="0" fontId="64" fillId="3" borderId="0" xfId="2" applyFont="1" applyFill="1"/>
    <xf numFmtId="0" fontId="6" fillId="3" borderId="36" xfId="2" applyFont="1" applyFill="1" applyBorder="1"/>
    <xf numFmtId="202" fontId="72" fillId="3" borderId="36" xfId="2" applyNumberFormat="1" applyFont="1" applyFill="1" applyBorder="1" applyAlignment="1">
      <alignment horizontal="left"/>
    </xf>
    <xf numFmtId="196" fontId="72" fillId="3" borderId="36" xfId="2" applyNumberFormat="1" applyFont="1" applyFill="1" applyBorder="1" applyAlignment="1">
      <alignment horizontal="left"/>
    </xf>
    <xf numFmtId="0" fontId="3" fillId="3" borderId="0" xfId="2" applyFont="1" applyFill="1"/>
    <xf numFmtId="0" fontId="6" fillId="3" borderId="37" xfId="2" applyFont="1" applyFill="1" applyBorder="1"/>
    <xf numFmtId="203" fontId="5" fillId="3" borderId="37" xfId="2" applyNumberFormat="1" applyFont="1" applyFill="1" applyBorder="1" applyAlignment="1">
      <alignment horizontal="left"/>
    </xf>
    <xf numFmtId="180" fontId="50" fillId="2" borderId="0" xfId="4" applyNumberFormat="1" applyFont="1" applyFill="1" applyAlignment="1">
      <alignment horizontal="center"/>
    </xf>
    <xf numFmtId="179" fontId="50" fillId="2" borderId="0" xfId="4" applyNumberFormat="1" applyFont="1" applyFill="1" applyAlignment="1">
      <alignment horizontal="center"/>
    </xf>
    <xf numFmtId="0" fontId="23" fillId="0" borderId="0" xfId="0" applyFont="1" applyAlignment="1">
      <alignment horizontal="justify" vertical="center" wrapText="1"/>
    </xf>
    <xf numFmtId="0" fontId="23" fillId="0" borderId="0" xfId="0" applyFont="1" applyAlignment="1">
      <alignment wrapText="1"/>
    </xf>
    <xf numFmtId="0" fontId="23" fillId="0" borderId="0" xfId="0" applyFont="1" applyAlignment="1">
      <alignment vertical="center" wrapText="1"/>
    </xf>
    <xf numFmtId="0" fontId="23" fillId="0" borderId="0" xfId="0" applyFont="1" applyAlignment="1">
      <alignment horizontal="centerContinuous" vertical="center" wrapText="1"/>
    </xf>
    <xf numFmtId="0" fontId="23" fillId="0" borderId="0" xfId="0" applyFont="1" applyAlignment="1">
      <alignment horizontal="centerContinuous" wrapText="1"/>
    </xf>
    <xf numFmtId="0" fontId="23" fillId="0" borderId="0" xfId="0" applyFont="1" applyAlignment="1">
      <alignment horizontal="center" vertical="center" wrapText="1"/>
    </xf>
    <xf numFmtId="179" fontId="23" fillId="2" borderId="0" xfId="0" applyNumberFormat="1" applyFont="1" applyFill="1" applyAlignment="1">
      <alignment vertical="center" wrapText="1"/>
    </xf>
    <xf numFmtId="0" fontId="23" fillId="0" borderId="0" xfId="0" applyFont="1" applyAlignment="1">
      <alignment horizontal="left" vertical="center" wrapText="1"/>
    </xf>
    <xf numFmtId="0" fontId="86" fillId="0" borderId="0" xfId="5" applyFont="1" applyAlignment="1">
      <alignment wrapText="1"/>
    </xf>
    <xf numFmtId="0" fontId="84" fillId="0" borderId="0" xfId="0" applyFont="1" applyAlignment="1">
      <alignment wrapText="1"/>
    </xf>
    <xf numFmtId="0" fontId="84" fillId="0" borderId="0" xfId="0" applyFont="1" applyAlignment="1">
      <alignment horizontal="justify" vertical="center" wrapText="1"/>
    </xf>
    <xf numFmtId="0" fontId="85" fillId="0" borderId="0" xfId="0" applyFont="1" applyAlignment="1">
      <alignment horizontal="centerContinuous" wrapText="1"/>
    </xf>
    <xf numFmtId="0" fontId="23" fillId="0" borderId="14" xfId="0" applyFont="1" applyBorder="1" applyAlignment="1">
      <alignment horizontal="justify" vertical="center" wrapText="1"/>
    </xf>
    <xf numFmtId="0" fontId="23" fillId="0" borderId="14" xfId="0" applyFont="1" applyBorder="1" applyAlignment="1">
      <alignment vertical="center" wrapText="1"/>
    </xf>
    <xf numFmtId="180" fontId="23" fillId="2" borderId="14" xfId="0" applyNumberFormat="1" applyFont="1" applyFill="1" applyBorder="1" applyAlignment="1">
      <alignment horizontal="right" vertical="center" wrapText="1"/>
    </xf>
    <xf numFmtId="179" fontId="23" fillId="2" borderId="11" xfId="0" applyNumberFormat="1" applyFont="1" applyFill="1" applyBorder="1" applyAlignment="1">
      <alignment vertical="center" wrapText="1"/>
    </xf>
    <xf numFmtId="179" fontId="23" fillId="2" borderId="14" xfId="0" applyNumberFormat="1" applyFont="1" applyFill="1" applyBorder="1" applyAlignment="1">
      <alignment vertical="center" wrapText="1"/>
    </xf>
    <xf numFmtId="0" fontId="23" fillId="0" borderId="11" xfId="0" applyFont="1" applyBorder="1" applyAlignment="1">
      <alignment vertical="center" wrapText="1"/>
    </xf>
    <xf numFmtId="0" fontId="23" fillId="0" borderId="14" xfId="5" applyFont="1" applyBorder="1" applyAlignment="1">
      <alignment horizontal="center" wrapText="1"/>
    </xf>
    <xf numFmtId="191" fontId="86" fillId="0" borderId="14" xfId="5" applyNumberFormat="1" applyFont="1" applyBorder="1" applyAlignment="1">
      <alignment wrapText="1"/>
    </xf>
    <xf numFmtId="0" fontId="23" fillId="0" borderId="14" xfId="5" applyFont="1" applyBorder="1" applyAlignment="1">
      <alignment wrapText="1"/>
    </xf>
    <xf numFmtId="1" fontId="23" fillId="0" borderId="14" xfId="5" applyNumberFormat="1" applyFont="1" applyBorder="1" applyAlignment="1">
      <alignment wrapText="1"/>
    </xf>
    <xf numFmtId="191" fontId="23" fillId="0" borderId="14" xfId="5" applyNumberFormat="1" applyFont="1" applyBorder="1" applyAlignment="1">
      <alignment wrapText="1"/>
    </xf>
    <xf numFmtId="0" fontId="23" fillId="0" borderId="11" xfId="5" applyFont="1" applyBorder="1" applyAlignment="1">
      <alignment horizontal="center" wrapText="1"/>
    </xf>
    <xf numFmtId="0" fontId="23" fillId="0" borderId="11" xfId="5" applyFont="1" applyBorder="1" applyAlignment="1">
      <alignment wrapText="1"/>
    </xf>
    <xf numFmtId="1" fontId="23" fillId="0" borderId="11" xfId="5" applyNumberFormat="1" applyFont="1" applyBorder="1" applyAlignment="1">
      <alignment wrapText="1"/>
    </xf>
    <xf numFmtId="0" fontId="84" fillId="0" borderId="41" xfId="5" applyFont="1" applyBorder="1" applyAlignment="1">
      <alignment horizontal="center" wrapText="1"/>
    </xf>
    <xf numFmtId="0" fontId="84" fillId="0" borderId="41" xfId="5" applyFont="1" applyBorder="1" applyAlignment="1">
      <alignment wrapText="1"/>
    </xf>
    <xf numFmtId="0" fontId="87" fillId="0" borderId="41" xfId="5" applyFont="1" applyBorder="1" applyAlignment="1">
      <alignment wrapText="1"/>
    </xf>
    <xf numFmtId="0" fontId="84" fillId="0" borderId="41" xfId="0" applyFont="1" applyBorder="1" applyAlignment="1">
      <alignment wrapText="1"/>
    </xf>
    <xf numFmtId="0" fontId="84" fillId="0" borderId="41" xfId="0" applyFont="1" applyBorder="1" applyAlignment="1">
      <alignment horizontal="justify" vertical="center" wrapText="1"/>
    </xf>
    <xf numFmtId="0" fontId="23" fillId="0" borderId="41" xfId="0" applyFont="1" applyBorder="1" applyAlignment="1">
      <alignment horizontal="centerContinuous" vertical="center" wrapText="1"/>
    </xf>
    <xf numFmtId="0" fontId="23" fillId="0" borderId="41" xfId="0" applyFont="1" applyBorder="1" applyAlignment="1">
      <alignment horizontal="centerContinuous" wrapText="1"/>
    </xf>
    <xf numFmtId="0" fontId="54" fillId="0" borderId="0" xfId="4" applyFont="1"/>
    <xf numFmtId="2" fontId="54" fillId="5" borderId="0" xfId="4" applyNumberFormat="1" applyFont="1" applyFill="1"/>
    <xf numFmtId="0" fontId="54" fillId="0" borderId="0" xfId="4" applyFont="1" applyAlignment="1">
      <alignment horizontal="right"/>
    </xf>
    <xf numFmtId="178" fontId="54" fillId="5" borderId="0" xfId="4" applyNumberFormat="1" applyFont="1" applyFill="1"/>
    <xf numFmtId="2" fontId="54" fillId="5" borderId="0" xfId="4" applyNumberFormat="1" applyFont="1" applyFill="1" applyAlignment="1">
      <alignment horizontal="right"/>
    </xf>
    <xf numFmtId="2" fontId="54" fillId="0" borderId="0" xfId="4" applyNumberFormat="1" applyFont="1"/>
    <xf numFmtId="0" fontId="55" fillId="0" borderId="0" xfId="4" applyFont="1" applyAlignment="1">
      <alignment horizontal="center"/>
    </xf>
    <xf numFmtId="0" fontId="54" fillId="0" borderId="42" xfId="4" applyFont="1" applyBorder="1"/>
    <xf numFmtId="0" fontId="54" fillId="0" borderId="26" xfId="4" applyFont="1" applyBorder="1"/>
    <xf numFmtId="0" fontId="54" fillId="0" borderId="43" xfId="4" applyFont="1" applyBorder="1"/>
    <xf numFmtId="164" fontId="54" fillId="0" borderId="0" xfId="4" applyNumberFormat="1" applyFont="1"/>
    <xf numFmtId="0" fontId="54" fillId="0" borderId="44" xfId="4" applyFont="1" applyBorder="1" applyAlignment="1">
      <alignment horizontal="right"/>
    </xf>
    <xf numFmtId="0" fontId="54" fillId="0" borderId="45" xfId="4" applyFont="1" applyBorder="1"/>
    <xf numFmtId="0" fontId="54" fillId="0" borderId="46" xfId="4" applyFont="1" applyBorder="1" applyAlignment="1">
      <alignment horizontal="right"/>
    </xf>
    <xf numFmtId="0" fontId="54" fillId="0" borderId="47" xfId="4" applyFont="1" applyBorder="1" applyAlignment="1">
      <alignment horizontal="right"/>
    </xf>
    <xf numFmtId="0" fontId="54" fillId="0" borderId="48" xfId="4" applyFont="1" applyBorder="1"/>
    <xf numFmtId="0" fontId="54" fillId="0" borderId="49" xfId="4" applyFont="1" applyBorder="1"/>
    <xf numFmtId="0" fontId="54" fillId="0" borderId="50" xfId="4" applyFont="1" applyBorder="1" applyAlignment="1">
      <alignment horizontal="center"/>
    </xf>
    <xf numFmtId="0" fontId="54" fillId="0" borderId="51" xfId="4" applyFont="1" applyBorder="1"/>
    <xf numFmtId="0" fontId="54" fillId="0" borderId="52" xfId="4" applyFont="1" applyBorder="1"/>
    <xf numFmtId="0" fontId="54" fillId="0" borderId="53" xfId="4" applyFont="1" applyBorder="1"/>
    <xf numFmtId="0" fontId="54" fillId="0" borderId="8" xfId="4" applyFont="1" applyBorder="1"/>
    <xf numFmtId="0" fontId="54" fillId="0" borderId="11" xfId="4" applyFont="1" applyBorder="1"/>
    <xf numFmtId="0" fontId="54" fillId="0" borderId="54" xfId="4" applyFont="1" applyBorder="1"/>
    <xf numFmtId="0" fontId="59" fillId="0" borderId="0" xfId="4" applyFont="1"/>
    <xf numFmtId="0" fontId="54" fillId="0" borderId="46" xfId="4" applyFont="1" applyBorder="1"/>
    <xf numFmtId="0" fontId="54" fillId="0" borderId="55" xfId="4" applyFont="1" applyBorder="1"/>
    <xf numFmtId="0" fontId="54" fillId="0" borderId="41" xfId="4" applyFont="1" applyBorder="1"/>
    <xf numFmtId="0" fontId="54" fillId="0" borderId="56" xfId="4" applyFont="1" applyBorder="1"/>
    <xf numFmtId="0" fontId="54" fillId="0" borderId="5" xfId="4" applyFont="1" applyBorder="1"/>
    <xf numFmtId="0" fontId="88" fillId="0" borderId="0" xfId="4" applyFont="1"/>
    <xf numFmtId="0" fontId="54" fillId="0" borderId="57" xfId="4" applyFont="1" applyBorder="1"/>
    <xf numFmtId="0" fontId="54" fillId="5" borderId="0" xfId="4" applyFont="1" applyFill="1"/>
    <xf numFmtId="177" fontId="54" fillId="0" borderId="0" xfId="4" applyNumberFormat="1" applyFont="1"/>
    <xf numFmtId="0" fontId="54" fillId="0" borderId="47" xfId="4" applyFont="1" applyBorder="1"/>
    <xf numFmtId="0" fontId="54" fillId="0" borderId="58" xfId="4" applyFont="1" applyBorder="1"/>
    <xf numFmtId="0" fontId="54" fillId="0" borderId="59" xfId="4" applyFont="1" applyBorder="1"/>
    <xf numFmtId="0" fontId="54" fillId="0" borderId="60" xfId="4" applyFont="1" applyBorder="1"/>
    <xf numFmtId="190" fontId="54" fillId="0" borderId="0" xfId="4" applyNumberFormat="1" applyFont="1"/>
    <xf numFmtId="190" fontId="54" fillId="5" borderId="0" xfId="4" applyNumberFormat="1" applyFont="1" applyFill="1"/>
    <xf numFmtId="0" fontId="89" fillId="0" borderId="0" xfId="0" applyFont="1" applyAlignment="1">
      <alignment horizontal="centerContinuous" wrapText="1"/>
    </xf>
    <xf numFmtId="0" fontId="90" fillId="0" borderId="0" xfId="0" applyFont="1" applyAlignment="1">
      <alignment horizontal="centerContinuous" wrapText="1"/>
    </xf>
    <xf numFmtId="0" fontId="84" fillId="0" borderId="41" xfId="5" applyFont="1" applyBorder="1" applyAlignment="1">
      <alignment vertical="top" wrapText="1"/>
    </xf>
    <xf numFmtId="0" fontId="33" fillId="0" borderId="61" xfId="5" applyFont="1" applyBorder="1" applyAlignment="1">
      <alignment horizontal="center"/>
    </xf>
    <xf numFmtId="0" fontId="42" fillId="0" borderId="5" xfId="5" applyFont="1" applyBorder="1"/>
    <xf numFmtId="0" fontId="2" fillId="0" borderId="0" xfId="5" applyAlignment="1">
      <alignment horizontal="left"/>
    </xf>
    <xf numFmtId="178" fontId="24" fillId="2" borderId="0" xfId="4" applyNumberFormat="1" applyFont="1" applyFill="1" applyAlignment="1">
      <alignment horizontal="left" vertical="center"/>
    </xf>
    <xf numFmtId="178" fontId="24" fillId="2" borderId="0" xfId="4" applyNumberFormat="1" applyFont="1" applyFill="1" applyAlignment="1">
      <alignment horizontal="right" vertical="center"/>
    </xf>
    <xf numFmtId="204" fontId="24" fillId="2" borderId="0" xfId="4" applyNumberFormat="1" applyFont="1" applyFill="1" applyAlignment="1">
      <alignment horizontal="left" vertical="center"/>
    </xf>
    <xf numFmtId="0" fontId="33" fillId="12" borderId="5" xfId="5" applyFont="1" applyFill="1" applyBorder="1"/>
    <xf numFmtId="0" fontId="91" fillId="0" borderId="0" xfId="0" applyFont="1"/>
    <xf numFmtId="0" fontId="52" fillId="13" borderId="0" xfId="0" applyFont="1" applyFill="1" applyAlignment="1">
      <alignment horizontal="center"/>
    </xf>
    <xf numFmtId="0" fontId="52" fillId="13" borderId="0" xfId="0" applyFont="1" applyFill="1" applyAlignment="1">
      <alignment horizontal="centerContinuous"/>
    </xf>
    <xf numFmtId="0" fontId="50" fillId="9" borderId="0" xfId="0" applyFont="1" applyFill="1" applyAlignment="1">
      <alignment horizontal="center" wrapText="1"/>
    </xf>
    <xf numFmtId="0" fontId="50" fillId="7" borderId="0" xfId="0" applyFont="1" applyFill="1" applyAlignment="1">
      <alignment horizontal="center"/>
    </xf>
    <xf numFmtId="0" fontId="50" fillId="5" borderId="0" xfId="0" applyFont="1" applyFill="1" applyAlignment="1">
      <alignment horizontal="center"/>
    </xf>
    <xf numFmtId="0" fontId="50" fillId="9" borderId="0" xfId="0" applyFont="1" applyFill="1" applyAlignment="1">
      <alignment horizontal="center"/>
    </xf>
    <xf numFmtId="0" fontId="50" fillId="0" borderId="0" xfId="0" applyFont="1" applyAlignment="1">
      <alignment horizontal="center" wrapText="1"/>
    </xf>
    <xf numFmtId="0" fontId="50" fillId="9" borderId="7" xfId="0" applyFont="1" applyFill="1" applyBorder="1" applyAlignment="1">
      <alignment horizontal="center"/>
    </xf>
    <xf numFmtId="0" fontId="50" fillId="0" borderId="0" xfId="0" applyFont="1" applyAlignment="1">
      <alignment horizontal="left" vertical="center"/>
    </xf>
    <xf numFmtId="0" fontId="50" fillId="0" borderId="0" xfId="0" applyFont="1" applyAlignment="1">
      <alignment horizontal="center"/>
    </xf>
    <xf numFmtId="0" fontId="55" fillId="0" borderId="0" xfId="4" applyFont="1" applyAlignment="1">
      <alignment horizontal="center"/>
    </xf>
    <xf numFmtId="0" fontId="52" fillId="0" borderId="0" xfId="4" applyFont="1" applyAlignment="1">
      <alignment horizontal="center"/>
    </xf>
    <xf numFmtId="0" fontId="54" fillId="0" borderId="0" xfId="4" applyFont="1" applyAlignment="1">
      <alignment horizontal="center"/>
    </xf>
    <xf numFmtId="0" fontId="0" fillId="2" borderId="5" xfId="0" applyFill="1" applyBorder="1" applyAlignment="1">
      <alignment horizontal="center" vertical="center"/>
    </xf>
    <xf numFmtId="172" fontId="5" fillId="2" borderId="6" xfId="0" applyNumberFormat="1" applyFont="1" applyFill="1" applyBorder="1" applyAlignment="1">
      <alignment horizontal="center" vertical="center"/>
    </xf>
    <xf numFmtId="0" fontId="64" fillId="2" borderId="6" xfId="0" applyFont="1" applyFill="1" applyBorder="1" applyAlignment="1">
      <alignment horizontal="center" vertical="justify"/>
    </xf>
    <xf numFmtId="0" fontId="0" fillId="2" borderId="0" xfId="0" applyFill="1" applyAlignment="1">
      <alignment horizontal="center" vertical="center"/>
    </xf>
    <xf numFmtId="0" fontId="64" fillId="2" borderId="0" xfId="0" applyFont="1" applyFill="1" applyAlignment="1">
      <alignment horizontal="center" vertical="justify"/>
    </xf>
    <xf numFmtId="0" fontId="53" fillId="2" borderId="13" xfId="0" applyFont="1" applyFill="1" applyBorder="1" applyAlignment="1">
      <alignment horizontal="center"/>
    </xf>
    <xf numFmtId="0" fontId="53" fillId="2" borderId="6" xfId="0" applyFont="1" applyFill="1" applyBorder="1" applyAlignment="1">
      <alignment horizontal="center"/>
    </xf>
    <xf numFmtId="0" fontId="53" fillId="2" borderId="17" xfId="0" applyFont="1" applyFill="1" applyBorder="1" applyAlignment="1">
      <alignment horizontal="center"/>
    </xf>
    <xf numFmtId="170" fontId="4" fillId="2" borderId="0" xfId="0" applyNumberFormat="1" applyFont="1" applyFill="1" applyAlignment="1">
      <alignment horizontal="center" vertical="center"/>
    </xf>
    <xf numFmtId="0" fontId="2" fillId="2" borderId="0" xfId="0" applyFont="1" applyFill="1" applyAlignment="1">
      <alignment horizontal="left" vertical="justify"/>
    </xf>
    <xf numFmtId="0" fontId="4" fillId="3" borderId="0" xfId="2" applyFont="1" applyFill="1" applyAlignment="1">
      <alignment horizontal="left" vertical="top" wrapText="1"/>
    </xf>
    <xf numFmtId="0" fontId="2" fillId="3" borderId="4" xfId="2" applyFill="1" applyBorder="1" applyAlignment="1">
      <alignment horizontal="left" vertical="center" textRotation="90" wrapText="1"/>
    </xf>
    <xf numFmtId="0" fontId="0" fillId="3" borderId="36" xfId="2" applyFont="1" applyFill="1" applyBorder="1" applyAlignment="1">
      <alignment horizontal="right"/>
    </xf>
    <xf numFmtId="0" fontId="53" fillId="3" borderId="29" xfId="2" applyFont="1" applyFill="1" applyBorder="1" applyAlignment="1">
      <alignment horizontal="center"/>
    </xf>
    <xf numFmtId="0" fontId="64" fillId="3" borderId="0" xfId="2" applyFont="1" applyFill="1" applyAlignment="1">
      <alignment horizontal="center" vertical="top" wrapText="1"/>
    </xf>
    <xf numFmtId="0" fontId="20" fillId="2" borderId="5" xfId="4" applyFont="1" applyFill="1" applyBorder="1" applyAlignment="1">
      <alignment horizontal="center" vertical="center"/>
    </xf>
    <xf numFmtId="179" fontId="44" fillId="2" borderId="5" xfId="0" applyNumberFormat="1" applyFont="1" applyFill="1" applyBorder="1" applyAlignment="1">
      <alignment horizontal="left" vertical="center"/>
    </xf>
    <xf numFmtId="0" fontId="25" fillId="2" borderId="2" xfId="4" applyFont="1" applyFill="1" applyBorder="1" applyAlignment="1">
      <alignment horizontal="center" vertical="center" wrapText="1"/>
    </xf>
    <xf numFmtId="0" fontId="25" fillId="2" borderId="3" xfId="4" applyFont="1" applyFill="1" applyBorder="1" applyAlignment="1">
      <alignment horizontal="center" vertical="center" wrapText="1"/>
    </xf>
    <xf numFmtId="0" fontId="52" fillId="3" borderId="2" xfId="2" applyFont="1" applyFill="1" applyBorder="1" applyAlignment="1">
      <alignment horizontal="center"/>
    </xf>
    <xf numFmtId="0" fontId="52" fillId="3" borderId="9" xfId="2" applyFont="1" applyFill="1" applyBorder="1" applyAlignment="1">
      <alignment horizontal="center"/>
    </xf>
    <xf numFmtId="0" fontId="52" fillId="3" borderId="10" xfId="2" applyFont="1" applyFill="1" applyBorder="1" applyAlignment="1">
      <alignment horizontal="center"/>
    </xf>
    <xf numFmtId="0" fontId="25" fillId="2" borderId="5" xfId="4" applyFont="1" applyFill="1" applyBorder="1" applyAlignment="1">
      <alignment horizontal="center" vertical="center"/>
    </xf>
    <xf numFmtId="0" fontId="50" fillId="2" borderId="12" xfId="4" applyFont="1" applyFill="1" applyBorder="1" applyAlignment="1">
      <alignment horizontal="center" vertical="center" textRotation="90" wrapText="1"/>
    </xf>
    <xf numFmtId="0" fontId="50" fillId="2" borderId="14" xfId="4" applyFont="1" applyFill="1" applyBorder="1" applyAlignment="1">
      <alignment horizontal="center" vertical="center" textRotation="90" wrapText="1"/>
    </xf>
    <xf numFmtId="0" fontId="50" fillId="2" borderId="11" xfId="4" applyFont="1" applyFill="1" applyBorder="1" applyAlignment="1">
      <alignment horizontal="center" vertical="center" textRotation="90" wrapText="1"/>
    </xf>
    <xf numFmtId="0" fontId="20" fillId="2" borderId="12" xfId="4" applyFont="1" applyFill="1" applyBorder="1" applyAlignment="1">
      <alignment horizontal="center" vertical="center"/>
    </xf>
    <xf numFmtId="0" fontId="20" fillId="2" borderId="11" xfId="4" applyFont="1" applyFill="1" applyBorder="1" applyAlignment="1">
      <alignment horizontal="center" vertical="center"/>
    </xf>
    <xf numFmtId="0" fontId="20" fillId="2" borderId="13" xfId="4" applyFont="1" applyFill="1" applyBorder="1" applyAlignment="1">
      <alignment horizontal="center" vertical="center"/>
    </xf>
    <xf numFmtId="0" fontId="20" fillId="2" borderId="17" xfId="4" applyFont="1" applyFill="1" applyBorder="1" applyAlignment="1">
      <alignment horizontal="center" vertical="center"/>
    </xf>
    <xf numFmtId="0" fontId="0" fillId="2" borderId="0" xfId="0" applyFill="1" applyAlignment="1">
      <alignment horizontal="left" vertical="justify"/>
    </xf>
    <xf numFmtId="177" fontId="24" fillId="0" borderId="0" xfId="0" applyNumberFormat="1" applyFont="1" applyAlignment="1">
      <alignment horizontal="left"/>
    </xf>
    <xf numFmtId="0" fontId="20" fillId="0" borderId="0" xfId="0" applyFont="1" applyAlignment="1">
      <alignment horizontal="center"/>
    </xf>
    <xf numFmtId="0" fontId="20" fillId="0" borderId="6" xfId="0" applyFont="1" applyBorder="1" applyAlignment="1">
      <alignment horizontal="center"/>
    </xf>
    <xf numFmtId="0" fontId="42" fillId="2" borderId="11" xfId="0" applyFont="1" applyFill="1" applyBorder="1" applyAlignment="1">
      <alignment horizontal="center"/>
    </xf>
    <xf numFmtId="184" fontId="38" fillId="2" borderId="0" xfId="0" applyNumberFormat="1" applyFont="1" applyFill="1" applyAlignment="1">
      <alignment horizontal="center"/>
    </xf>
    <xf numFmtId="184" fontId="38" fillId="2" borderId="7" xfId="0" applyNumberFormat="1" applyFont="1" applyFill="1" applyBorder="1" applyAlignment="1">
      <alignment horizontal="center"/>
    </xf>
    <xf numFmtId="0" fontId="20" fillId="2" borderId="0" xfId="0" applyFont="1" applyFill="1" applyAlignment="1">
      <alignment horizontal="center" vertical="center"/>
    </xf>
    <xf numFmtId="0" fontId="20" fillId="2" borderId="5" xfId="0" applyFont="1" applyFill="1" applyBorder="1" applyAlignment="1">
      <alignment horizontal="center" vertical="center"/>
    </xf>
    <xf numFmtId="0" fontId="25" fillId="2" borderId="5" xfId="0" applyFont="1" applyFill="1" applyBorder="1" applyAlignment="1">
      <alignment horizontal="center" vertical="center"/>
    </xf>
    <xf numFmtId="170" fontId="20" fillId="2" borderId="0" xfId="0" applyNumberFormat="1" applyFont="1" applyFill="1" applyAlignment="1">
      <alignment horizontal="left" vertical="top"/>
    </xf>
    <xf numFmtId="170" fontId="20" fillId="2" borderId="0" xfId="0" applyNumberFormat="1" applyFont="1" applyFill="1" applyAlignment="1">
      <alignment horizontal="center" vertical="center" textRotation="90"/>
    </xf>
    <xf numFmtId="165" fontId="35" fillId="2" borderId="5" xfId="0" applyNumberFormat="1" applyFont="1" applyFill="1" applyBorder="1" applyAlignment="1">
      <alignment horizontal="center" vertical="center"/>
    </xf>
    <xf numFmtId="0" fontId="25" fillId="2" borderId="0" xfId="0" applyFont="1" applyFill="1" applyAlignment="1">
      <alignment horizontal="left" vertical="justify"/>
    </xf>
    <xf numFmtId="0" fontId="33" fillId="0" borderId="61" xfId="5" applyFont="1" applyBorder="1"/>
    <xf numFmtId="0" fontId="33" fillId="0" borderId="62" xfId="5" applyFont="1" applyBorder="1"/>
    <xf numFmtId="191" fontId="33" fillId="0" borderId="0" xfId="5" applyNumberFormat="1" applyFont="1" applyAlignment="1">
      <alignment horizontal="left" vertical="center"/>
    </xf>
    <xf numFmtId="0" fontId="33" fillId="0" borderId="0" xfId="5" applyFont="1" applyAlignment="1">
      <alignment horizontal="left" vertical="center"/>
    </xf>
    <xf numFmtId="191" fontId="33" fillId="0" borderId="0" xfId="5" applyNumberFormat="1" applyFont="1" applyAlignment="1">
      <alignment horizontal="center"/>
    </xf>
    <xf numFmtId="0" fontId="33" fillId="0" borderId="0" xfId="5" applyFont="1" applyAlignment="1">
      <alignment horizontal="center"/>
    </xf>
    <xf numFmtId="0" fontId="33" fillId="0" borderId="5" xfId="5" applyFont="1" applyBorder="1" applyAlignment="1">
      <alignment horizontal="left"/>
    </xf>
    <xf numFmtId="0" fontId="33" fillId="0" borderId="5" xfId="5" applyFont="1" applyBorder="1"/>
    <xf numFmtId="0" fontId="62" fillId="0" borderId="0" xfId="5" applyFont="1" applyAlignment="1">
      <alignment horizontal="center"/>
    </xf>
    <xf numFmtId="0" fontId="33" fillId="0" borderId="5" xfId="5" applyFont="1" applyBorder="1" applyAlignment="1">
      <alignment horizontal="right" vertical="center" wrapText="1"/>
    </xf>
    <xf numFmtId="0" fontId="33" fillId="0" borderId="5" xfId="5" applyFont="1" applyBorder="1" applyAlignment="1">
      <alignment horizontal="left" wrapText="1"/>
    </xf>
    <xf numFmtId="0" fontId="33" fillId="0" borderId="5" xfId="5" applyFont="1" applyBorder="1" applyAlignment="1">
      <alignment wrapText="1"/>
    </xf>
    <xf numFmtId="0" fontId="23" fillId="0" borderId="14" xfId="0" applyFont="1" applyBorder="1" applyAlignment="1">
      <alignment vertical="center" wrapText="1"/>
    </xf>
    <xf numFmtId="0" fontId="23" fillId="0" borderId="11" xfId="0" applyFont="1" applyBorder="1" applyAlignment="1">
      <alignment vertical="center" wrapText="1"/>
    </xf>
    <xf numFmtId="0" fontId="84" fillId="0" borderId="41" xfId="0" applyFont="1" applyBorder="1" applyAlignment="1">
      <alignment horizontal="justify" vertical="center" wrapText="1"/>
    </xf>
    <xf numFmtId="0" fontId="23" fillId="0" borderId="41" xfId="5" applyFont="1" applyBorder="1" applyAlignment="1">
      <alignment horizontal="center" wrapText="1"/>
    </xf>
    <xf numFmtId="180" fontId="23" fillId="2" borderId="14" xfId="0" applyNumberFormat="1" applyFont="1" applyFill="1" applyBorder="1" applyAlignment="1">
      <alignment horizontal="center" vertical="center" wrapText="1"/>
    </xf>
    <xf numFmtId="0" fontId="84" fillId="0" borderId="41" xfId="0" applyFont="1" applyBorder="1" applyAlignment="1">
      <alignment horizontal="center" wrapText="1"/>
    </xf>
    <xf numFmtId="0" fontId="23" fillId="0" borderId="14" xfId="0" applyFont="1" applyBorder="1" applyAlignment="1">
      <alignment horizontal="center" vertical="center" wrapText="1"/>
    </xf>
    <xf numFmtId="0" fontId="23" fillId="0" borderId="11" xfId="0" applyFont="1" applyBorder="1" applyAlignment="1">
      <alignment horizontal="center" vertical="center" wrapText="1"/>
    </xf>
  </cellXfs>
  <cellStyles count="10">
    <cellStyle name="ConditionalStyle_1" xfId="1" xr:uid="{00000000-0005-0000-0000-000000000000}"/>
    <cellStyle name="Excel Built-in Normal" xfId="2" xr:uid="{00000000-0005-0000-0000-000001000000}"/>
    <cellStyle name="Excel Built-in Percent" xfId="3" xr:uid="{00000000-0005-0000-0000-000002000000}"/>
    <cellStyle name="Normal" xfId="0" builtinId="0"/>
    <cellStyle name="Normal 2" xfId="4" xr:uid="{00000000-0005-0000-0000-000004000000}"/>
    <cellStyle name="Normal 2 2" xfId="5" xr:uid="{00000000-0005-0000-0000-000005000000}"/>
    <cellStyle name="Normal 2 3" xfId="6" xr:uid="{00000000-0005-0000-0000-000006000000}"/>
    <cellStyle name="Normal 2 4" xfId="7" xr:uid="{00000000-0005-0000-0000-000007000000}"/>
    <cellStyle name="Normal 3" xfId="8" xr:uid="{00000000-0005-0000-0000-000008000000}"/>
    <cellStyle name="Normal 4" xfId="9" xr:uid="{00000000-0005-0000-0000-000009000000}"/>
  </cellStyles>
  <dxfs count="2">
    <dxf>
      <font>
        <condense val="0"/>
        <extend val="0"/>
        <color indexed="9"/>
      </font>
    </dxf>
    <dxf>
      <font>
        <condense val="0"/>
        <extend val="0"/>
        <color indexed="12"/>
      </font>
      <fill>
        <patternFill>
          <bgColor indexed="44"/>
        </patternFill>
      </fill>
    </dxf>
  </dxfs>
  <tableStyles count="0" defaultTableStyle="TableStyleMedium9" defaultPivotStyle="PivotStyleLight16"/>
  <colors>
    <mruColors>
      <color rgb="FF54DEB3"/>
      <color rgb="FFFF3300"/>
      <color rgb="FFFF6699"/>
      <color rgb="FFFF00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activeX1.xml><?xml version="1.0" encoding="utf-8"?>
<ax:ocx xmlns:ax="http://schemas.microsoft.com/office/2006/activeX" xmlns:r="http://schemas.openxmlformats.org/officeDocument/2006/relationships" ax:classid="{8BD21D50-EC42-11CE-9E0D-00AA006002F3}" r:id="rId1"/>
</file>

<file path=xl/activeX/activeX2.xml><?xml version="1.0" encoding="utf-8"?>
<ax:ocx xmlns:ax="http://schemas.microsoft.com/office/2006/activeX" xmlns:r="http://schemas.openxmlformats.org/officeDocument/2006/relationships" ax:classid="{8BD21D50-EC42-11CE-9E0D-00AA006002F3}" r:id="rId1"/>
</file>

<file path=xl/activeX/activeX3.xml><?xml version="1.0" encoding="utf-8"?>
<ax:ocx xmlns:ax="http://schemas.microsoft.com/office/2006/activeX" xmlns:r="http://schemas.openxmlformats.org/officeDocument/2006/relationships" ax:classid="{8BD21D40-EC42-11CE-9E0D-00AA006002F3}" r:id="rId1"/>
</file>

<file path=xl/activeX/activeX4.xml><?xml version="1.0" encoding="utf-8"?>
<ax:ocx xmlns:ax="http://schemas.microsoft.com/office/2006/activeX" xmlns:r="http://schemas.openxmlformats.org/officeDocument/2006/relationships" ax:classid="{8BD21D40-EC42-11CE-9E0D-00AA006002F3}" r:id="rId1"/>
</file>

<file path=xl/activeX/activeX5.xml><?xml version="1.0" encoding="utf-8"?>
<ax:ocx xmlns:ax="http://schemas.microsoft.com/office/2006/activeX" xmlns:r="http://schemas.openxmlformats.org/officeDocument/2006/relationships" ax:classid="{8BD21D50-EC42-11CE-9E0D-00AA006002F3}" r:id="rId1"/>
</file>

<file path=xl/activeX/activeX6.xml><?xml version="1.0" encoding="utf-8"?>
<ax:ocx xmlns:ax="http://schemas.microsoft.com/office/2006/activeX" xmlns:r="http://schemas.openxmlformats.org/officeDocument/2006/relationships" ax:classid="{8BD21D50-EC42-11CE-9E0D-00AA006002F3}" r:id="rId1"/>
</file>

<file path=xl/activeX/activeX7.xml><?xml version="1.0" encoding="utf-8"?>
<ax:ocx xmlns:ax="http://schemas.microsoft.com/office/2006/activeX" xmlns:r="http://schemas.openxmlformats.org/officeDocument/2006/relationships" ax:classid="{8BD21D40-EC42-11CE-9E0D-00AA006002F3}" r:id="rId1"/>
</file>

<file path=xl/activeX/activeX8.xml><?xml version="1.0" encoding="utf-8"?>
<ax:ocx xmlns:ax="http://schemas.microsoft.com/office/2006/activeX" xmlns:r="http://schemas.openxmlformats.org/officeDocument/2006/relationships" ax:classid="{8BD21D50-EC42-11CE-9E0D-00AA006002F3}" r:id="rId1"/>
</file>

<file path=xl/activeX/activeX9.xml><?xml version="1.0" encoding="utf-8"?>
<ax:ocx xmlns:ax="http://schemas.microsoft.com/office/2006/activeX" xmlns:r="http://schemas.openxmlformats.org/officeDocument/2006/relationships" ax:classid="{8BD21D50-EC42-11CE-9E0D-00AA006002F3}" r:id="rId1"/>
</file>

<file path=xl/activeX/activeX10.xml><?xml version="1.0" encoding="utf-8"?>
<ax:ocx xmlns:ax="http://schemas.microsoft.com/office/2006/activeX" xmlns:r="http://schemas.openxmlformats.org/officeDocument/2006/relationships" ax:classid="{8BD21D50-EC42-11CE-9E0D-00AA006002F3}" r:id="rId1"/>
</file>

<file path=xl/activeX/activeX11.xml><?xml version="1.0" encoding="utf-8"?>
<ax:ocx xmlns:ax="http://schemas.microsoft.com/office/2006/activeX" xmlns:r="http://schemas.openxmlformats.org/officeDocument/2006/relationships" ax:classid="{8BD21D40-EC42-11CE-9E0D-00AA006002F3}" r:id="rId1"/>
</file>

<file path=xl/activeX/activeX12.xml><?xml version="1.0" encoding="utf-8"?>
<ax:ocx xmlns:ax="http://schemas.microsoft.com/office/2006/activeX" xmlns:r="http://schemas.openxmlformats.org/officeDocument/2006/relationships" ax:classid="{8BD21D40-EC42-11CE-9E0D-00AA006002F3}" r:id="rId1"/>
</file>

<file path=xl/activeX/activeX13.xml><?xml version="1.0" encoding="utf-8"?>
<ax:ocx xmlns:ax="http://schemas.microsoft.com/office/2006/activeX" xmlns:r="http://schemas.openxmlformats.org/officeDocument/2006/relationships" ax:classid="{8BD21D40-EC42-11CE-9E0D-00AA006002F3}" r:id="rId1"/>
</file>

<file path=xl/activeX/activeX14.xml><?xml version="1.0" encoding="utf-8"?>
<ax:ocx xmlns:ax="http://schemas.microsoft.com/office/2006/activeX" xmlns:r="http://schemas.openxmlformats.org/officeDocument/2006/relationships" ax:classid="{8BD21D40-EC42-11CE-9E0D-00AA006002F3}" r:id="rId1"/>
</file>

<file path=xl/activeX/activeX15.xml><?xml version="1.0" encoding="utf-8"?>
<ax:ocx xmlns:ax="http://schemas.microsoft.com/office/2006/activeX" xmlns:r="http://schemas.openxmlformats.org/officeDocument/2006/relationships" ax:classid="{8BD21D40-EC42-11CE-9E0D-00AA006002F3}" r:id="rId1"/>
</file>

<file path=xl/activeX/activeX16.xml><?xml version="1.0" encoding="utf-8"?>
<ax:ocx xmlns:ax="http://schemas.microsoft.com/office/2006/activeX" xmlns:r="http://schemas.openxmlformats.org/officeDocument/2006/relationships" ax:classid="{8BD21D40-EC42-11CE-9E0D-00AA006002F3}" r:id="rId1"/>
</file>

<file path=xl/activeX/activeX17.xml><?xml version="1.0" encoding="utf-8"?>
<ax:ocx xmlns:ax="http://schemas.microsoft.com/office/2006/activeX" xmlns:r="http://schemas.openxmlformats.org/officeDocument/2006/relationships" ax:classid="{8BD21D40-EC42-11CE-9E0D-00AA006002F3}" r:id="rId1"/>
</file>

<file path=xl/activeX/activeX18.xml><?xml version="1.0" encoding="utf-8"?>
<ax:ocx xmlns:ax="http://schemas.microsoft.com/office/2006/activeX" xmlns:r="http://schemas.openxmlformats.org/officeDocument/2006/relationships" ax:classid="{8BD21D40-EC42-11CE-9E0D-00AA006002F3}" r:id="rId1"/>
</file>

<file path=xl/activeX/activeX19.xml><?xml version="1.0" encoding="utf-8"?>
<ax:ocx xmlns:ax="http://schemas.microsoft.com/office/2006/activeX" xmlns:r="http://schemas.openxmlformats.org/officeDocument/2006/relationships" ax:classid="{8BD21D40-EC42-11CE-9E0D-00AA006002F3}" r:id="rId1"/>
</file>

<file path=xl/activeX/activeX20.xml><?xml version="1.0" encoding="utf-8"?>
<ax:ocx xmlns:ax="http://schemas.microsoft.com/office/2006/activeX" xmlns:r="http://schemas.openxmlformats.org/officeDocument/2006/relationships" ax:classid="{8BD21D40-EC42-11CE-9E0D-00AA006002F3}" r:id="rId1"/>
</file>

<file path=xl/activeX/activeX21.xml><?xml version="1.0" encoding="utf-8"?>
<ax:ocx xmlns:ax="http://schemas.microsoft.com/office/2006/activeX" xmlns:r="http://schemas.openxmlformats.org/officeDocument/2006/relationships" ax:classid="{8BD21D40-EC42-11CE-9E0D-00AA006002F3}" r:id="rId1"/>
</file>

<file path=xl/activeX/activeX22.xml><?xml version="1.0" encoding="utf-8"?>
<ax:ocx xmlns:ax="http://schemas.microsoft.com/office/2006/activeX" xmlns:r="http://schemas.openxmlformats.org/officeDocument/2006/relationships" ax:classid="{8BD21D40-EC42-11CE-9E0D-00AA006002F3}" r:id="rId1"/>
</file>

<file path=xl/activeX/activeX23.xml><?xml version="1.0" encoding="utf-8"?>
<ax:ocx xmlns:ax="http://schemas.microsoft.com/office/2006/activeX" xmlns:r="http://schemas.openxmlformats.org/officeDocument/2006/relationships" ax:classid="{8BD21D50-EC42-11CE-9E0D-00AA006002F3}" r:id="rId1"/>
</file>

<file path=xl/activeX/activeX24.xml><?xml version="1.0" encoding="utf-8"?>
<ax:ocx xmlns:ax="http://schemas.microsoft.com/office/2006/activeX" xmlns:r="http://schemas.openxmlformats.org/officeDocument/2006/relationships" ax:classid="{8BD21D50-EC42-11CE-9E0D-00AA006002F3}" r:id="rId1"/>
</file>

<file path=xl/activeX/activeX25.xml><?xml version="1.0" encoding="utf-8"?>
<ax:ocx xmlns:ax="http://schemas.microsoft.com/office/2006/activeX" xmlns:r="http://schemas.openxmlformats.org/officeDocument/2006/relationships" ax:classid="{8BD21D40-EC42-11CE-9E0D-00AA006002F3}" r:id="rId1"/>
</file>

<file path=xl/activeX/activeX26.xml><?xml version="1.0" encoding="utf-8"?>
<ax:ocx xmlns:ax="http://schemas.microsoft.com/office/2006/activeX" xmlns:r="http://schemas.openxmlformats.org/officeDocument/2006/relationships" ax:classid="{8BD21D40-EC42-11CE-9E0D-00AA006002F3}" r:id="rId1"/>
</file>

<file path=xl/activeX/activeX27.xml><?xml version="1.0" encoding="utf-8"?>
<ax:ocx xmlns:ax="http://schemas.microsoft.com/office/2006/activeX" xmlns:r="http://schemas.openxmlformats.org/officeDocument/2006/relationships" ax:classid="{8BD21D40-EC42-11CE-9E0D-00AA006002F3}" r:id="rId1"/>
</file>

<file path=xl/activeX/activeX28.xml><?xml version="1.0" encoding="utf-8"?>
<ax:ocx xmlns:ax="http://schemas.microsoft.com/office/2006/activeX" xmlns:r="http://schemas.openxmlformats.org/officeDocument/2006/relationships" ax:classid="{8BD21D40-EC42-11CE-9E0D-00AA006002F3}" r:id="rId1"/>
</file>

<file path=xl/activeX/activeX29.xml><?xml version="1.0" encoding="utf-8"?>
<ax:ocx xmlns:ax="http://schemas.microsoft.com/office/2006/activeX" xmlns:r="http://schemas.openxmlformats.org/officeDocument/2006/relationships" ax:classid="{8BD21D40-EC42-11CE-9E0D-00AA006002F3}" r:id="rId1"/>
</file>

<file path=xl/activeX/activeX30.xml><?xml version="1.0" encoding="utf-8"?>
<ax:ocx xmlns:ax="http://schemas.microsoft.com/office/2006/activeX" xmlns:r="http://schemas.openxmlformats.org/officeDocument/2006/relationships" ax:classid="{8BD21D40-EC42-11CE-9E0D-00AA006002F3}" r:id="rId1"/>
</file>

<file path=xl/activeX/activeX31.xml><?xml version="1.0" encoding="utf-8"?>
<ax:ocx xmlns:ax="http://schemas.microsoft.com/office/2006/activeX" xmlns:r="http://schemas.openxmlformats.org/officeDocument/2006/relationships" ax:classid="{8BD21D40-EC42-11CE-9E0D-00AA006002F3}" r:id="rId1"/>
</file>

<file path=xl/activeX/activeX32.xml><?xml version="1.0" encoding="utf-8"?>
<ax:ocx xmlns:ax="http://schemas.microsoft.com/office/2006/activeX" xmlns:r="http://schemas.openxmlformats.org/officeDocument/2006/relationships" ax:classid="{8BD21D40-EC42-11CE-9E0D-00AA006002F3}" r:id="rId1"/>
</file>

<file path=xl/activeX/activeX33.xml><?xml version="1.0" encoding="utf-8"?>
<ax:ocx xmlns:ax="http://schemas.microsoft.com/office/2006/activeX" xmlns:r="http://schemas.openxmlformats.org/officeDocument/2006/relationships" ax:classid="{8BD21D40-EC42-11CE-9E0D-00AA006002F3}" r:id="rId1"/>
</file>

<file path=xl/activeX/activeX34.xml><?xml version="1.0" encoding="utf-8"?>
<ax:ocx xmlns:ax="http://schemas.microsoft.com/office/2006/activeX" xmlns:r="http://schemas.openxmlformats.org/officeDocument/2006/relationships" ax:classid="{8BD21D40-EC42-11CE-9E0D-00AA006002F3}" r:id="rId1"/>
</file>

<file path=xl/activeX/activeX35.xml><?xml version="1.0" encoding="utf-8"?>
<ax:ocx xmlns:ax="http://schemas.microsoft.com/office/2006/activeX" xmlns:r="http://schemas.openxmlformats.org/officeDocument/2006/relationships" ax:classid="{8BD21D40-EC42-11CE-9E0D-00AA006002F3}" r:id="rId1"/>
</file>

<file path=xl/drawings/_rels/drawing2.xml.rels><?xml version="1.0" encoding="UTF-8" standalone="yes"?>
<Relationships xmlns="http://schemas.openxmlformats.org/package/2006/relationships"><Relationship Id="rId1" Type="http://schemas.openxmlformats.org/officeDocument/2006/relationships/image" Target="../media/image36.png"/></Relationships>
</file>

<file path=xl/drawings/_rels/drawing3.xml.rels><?xml version="1.0" encoding="UTF-8" standalone="yes"?>
<Relationships xmlns="http://schemas.openxmlformats.org/package/2006/relationships"><Relationship Id="rId1" Type="http://schemas.openxmlformats.org/officeDocument/2006/relationships/image" Target="../media/image37.emf"/></Relationships>
</file>

<file path=xl/drawings/_rels/vmlDrawing1.vml.rels><?xml version="1.0" encoding="UTF-8" standalone="yes"?>
<Relationships xmlns="http://schemas.openxmlformats.org/package/2006/relationships"><Relationship Id="rId13" Type="http://schemas.openxmlformats.org/officeDocument/2006/relationships/image" Target="../media/image10.emf"/><Relationship Id="rId18" Type="http://schemas.openxmlformats.org/officeDocument/2006/relationships/image" Target="../media/image24.emf"/><Relationship Id="rId26" Type="http://schemas.openxmlformats.org/officeDocument/2006/relationships/image" Target="../media/image26.emf"/><Relationship Id="rId3" Type="http://schemas.openxmlformats.org/officeDocument/2006/relationships/image" Target="../media/image14.emf"/><Relationship Id="rId21" Type="http://schemas.openxmlformats.org/officeDocument/2006/relationships/image" Target="../media/image4.emf"/><Relationship Id="rId34" Type="http://schemas.openxmlformats.org/officeDocument/2006/relationships/image" Target="../media/image34.emf"/><Relationship Id="rId7" Type="http://schemas.openxmlformats.org/officeDocument/2006/relationships/image" Target="../media/image18.emf"/><Relationship Id="rId12" Type="http://schemas.openxmlformats.org/officeDocument/2006/relationships/image" Target="../media/image11.emf"/><Relationship Id="rId17" Type="http://schemas.openxmlformats.org/officeDocument/2006/relationships/image" Target="../media/image23.emf"/><Relationship Id="rId25" Type="http://schemas.openxmlformats.org/officeDocument/2006/relationships/image" Target="../media/image25.emf"/><Relationship Id="rId33" Type="http://schemas.openxmlformats.org/officeDocument/2006/relationships/image" Target="../media/image33.emf"/><Relationship Id="rId2" Type="http://schemas.openxmlformats.org/officeDocument/2006/relationships/image" Target="../media/image13.emf"/><Relationship Id="rId16" Type="http://schemas.openxmlformats.org/officeDocument/2006/relationships/image" Target="../media/image7.emf"/><Relationship Id="rId20" Type="http://schemas.openxmlformats.org/officeDocument/2006/relationships/image" Target="../media/image5.emf"/><Relationship Id="rId29" Type="http://schemas.openxmlformats.org/officeDocument/2006/relationships/image" Target="../media/image29.emf"/><Relationship Id="rId1" Type="http://schemas.openxmlformats.org/officeDocument/2006/relationships/image" Target="../media/image12.emf"/><Relationship Id="rId6" Type="http://schemas.openxmlformats.org/officeDocument/2006/relationships/image" Target="../media/image17.emf"/><Relationship Id="rId11" Type="http://schemas.openxmlformats.org/officeDocument/2006/relationships/image" Target="../media/image22.emf"/><Relationship Id="rId24" Type="http://schemas.openxmlformats.org/officeDocument/2006/relationships/image" Target="../media/image1.emf"/><Relationship Id="rId32" Type="http://schemas.openxmlformats.org/officeDocument/2006/relationships/image" Target="../media/image32.emf"/><Relationship Id="rId5" Type="http://schemas.openxmlformats.org/officeDocument/2006/relationships/image" Target="../media/image16.emf"/><Relationship Id="rId15" Type="http://schemas.openxmlformats.org/officeDocument/2006/relationships/image" Target="../media/image8.emf"/><Relationship Id="rId23" Type="http://schemas.openxmlformats.org/officeDocument/2006/relationships/image" Target="../media/image2.emf"/><Relationship Id="rId28" Type="http://schemas.openxmlformats.org/officeDocument/2006/relationships/image" Target="../media/image28.emf"/><Relationship Id="rId10" Type="http://schemas.openxmlformats.org/officeDocument/2006/relationships/image" Target="../media/image21.emf"/><Relationship Id="rId19" Type="http://schemas.openxmlformats.org/officeDocument/2006/relationships/image" Target="../media/image6.emf"/><Relationship Id="rId31" Type="http://schemas.openxmlformats.org/officeDocument/2006/relationships/image" Target="../media/image31.emf"/><Relationship Id="rId4" Type="http://schemas.openxmlformats.org/officeDocument/2006/relationships/image" Target="../media/image15.emf"/><Relationship Id="rId9" Type="http://schemas.openxmlformats.org/officeDocument/2006/relationships/image" Target="../media/image20.emf"/><Relationship Id="rId14" Type="http://schemas.openxmlformats.org/officeDocument/2006/relationships/image" Target="../media/image9.emf"/><Relationship Id="rId22" Type="http://schemas.openxmlformats.org/officeDocument/2006/relationships/image" Target="../media/image3.emf"/><Relationship Id="rId27" Type="http://schemas.openxmlformats.org/officeDocument/2006/relationships/image" Target="../media/image27.emf"/><Relationship Id="rId30" Type="http://schemas.openxmlformats.org/officeDocument/2006/relationships/image" Target="../media/image30.emf"/><Relationship Id="rId35" Type="http://schemas.openxmlformats.org/officeDocument/2006/relationships/image" Target="../media/image35.emf"/><Relationship Id="rId8" Type="http://schemas.openxmlformats.org/officeDocument/2006/relationships/image" Target="../media/image1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571500</xdr:colOff>
          <xdr:row>89</xdr:row>
          <xdr:rowOff>28575</xdr:rowOff>
        </xdr:from>
        <xdr:to>
          <xdr:col>1</xdr:col>
          <xdr:colOff>3038475</xdr:colOff>
          <xdr:row>90</xdr:row>
          <xdr:rowOff>95250</xdr:rowOff>
        </xdr:to>
        <xdr:sp macro="" textlink="">
          <xdr:nvSpPr>
            <xdr:cNvPr id="33807" name="story_deflection_plot" descr="Reinforcement Demand" hidden="1">
              <a:extLst>
                <a:ext uri="{63B3BB69-23CF-44E3-9099-C40C66FF867C}">
                  <a14:compatExt spid="_x0000_s33807"/>
                </a:ext>
                <a:ext uri="{FF2B5EF4-FFF2-40B4-BE49-F238E27FC236}">
                  <a16:creationId xmlns:a16="http://schemas.microsoft.com/office/drawing/2014/main" id="{00000000-0008-0000-0100-00000F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571500</xdr:colOff>
          <xdr:row>91</xdr:row>
          <xdr:rowOff>28575</xdr:rowOff>
        </xdr:from>
        <xdr:to>
          <xdr:col>1</xdr:col>
          <xdr:colOff>3038475</xdr:colOff>
          <xdr:row>92</xdr:row>
          <xdr:rowOff>95250</xdr:rowOff>
        </xdr:to>
        <xdr:sp macro="" textlink="">
          <xdr:nvSpPr>
            <xdr:cNvPr id="33819" name="story_drift_plot" descr="Reinforcement Demand" hidden="1">
              <a:extLst>
                <a:ext uri="{63B3BB69-23CF-44E3-9099-C40C66FF867C}">
                  <a14:compatExt spid="_x0000_s33819"/>
                </a:ext>
                <a:ext uri="{FF2B5EF4-FFF2-40B4-BE49-F238E27FC236}">
                  <a16:creationId xmlns:a16="http://schemas.microsoft.com/office/drawing/2014/main" id="{00000000-0008-0000-0100-00001B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571500</xdr:colOff>
          <xdr:row>93</xdr:row>
          <xdr:rowOff>28575</xdr:rowOff>
        </xdr:from>
        <xdr:to>
          <xdr:col>1</xdr:col>
          <xdr:colOff>3038475</xdr:colOff>
          <xdr:row>94</xdr:row>
          <xdr:rowOff>95250</xdr:rowOff>
        </xdr:to>
        <xdr:sp macro="" textlink="">
          <xdr:nvSpPr>
            <xdr:cNvPr id="33820" name="all_reinforcement_demand" descr="Reinforcement Demand" hidden="1">
              <a:extLst>
                <a:ext uri="{63B3BB69-23CF-44E3-9099-C40C66FF867C}">
                  <a14:compatExt spid="_x0000_s33820"/>
                </a:ext>
                <a:ext uri="{FF2B5EF4-FFF2-40B4-BE49-F238E27FC236}">
                  <a16:creationId xmlns:a16="http://schemas.microsoft.com/office/drawing/2014/main" id="{00000000-0008-0000-0100-00001C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571500</xdr:colOff>
          <xdr:row>95</xdr:row>
          <xdr:rowOff>28575</xdr:rowOff>
        </xdr:from>
        <xdr:to>
          <xdr:col>1</xdr:col>
          <xdr:colOff>3038475</xdr:colOff>
          <xdr:row>96</xdr:row>
          <xdr:rowOff>95250</xdr:rowOff>
        </xdr:to>
        <xdr:sp macro="" textlink="">
          <xdr:nvSpPr>
            <xdr:cNvPr id="33821" name="column_design_etabs" descr="Reinforcement Demand" hidden="1">
              <a:extLst>
                <a:ext uri="{63B3BB69-23CF-44E3-9099-C40C66FF867C}">
                  <a14:compatExt spid="_x0000_s33821"/>
                </a:ext>
                <a:ext uri="{FF2B5EF4-FFF2-40B4-BE49-F238E27FC236}">
                  <a16:creationId xmlns:a16="http://schemas.microsoft.com/office/drawing/2014/main" id="{00000000-0008-0000-0100-00001D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571500</xdr:colOff>
          <xdr:row>97</xdr:row>
          <xdr:rowOff>28575</xdr:rowOff>
        </xdr:from>
        <xdr:to>
          <xdr:col>1</xdr:col>
          <xdr:colOff>3038475</xdr:colOff>
          <xdr:row>98</xdr:row>
          <xdr:rowOff>95250</xdr:rowOff>
        </xdr:to>
        <xdr:sp macro="" textlink="">
          <xdr:nvSpPr>
            <xdr:cNvPr id="33822" name="column_design_excel" descr="Reinforcement Demand" hidden="1">
              <a:extLst>
                <a:ext uri="{63B3BB69-23CF-44E3-9099-C40C66FF867C}">
                  <a14:compatExt spid="_x0000_s33822"/>
                </a:ext>
                <a:ext uri="{FF2B5EF4-FFF2-40B4-BE49-F238E27FC236}">
                  <a16:creationId xmlns:a16="http://schemas.microsoft.com/office/drawing/2014/main" id="{00000000-0008-0000-0100-00001E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571500</xdr:colOff>
          <xdr:row>99</xdr:row>
          <xdr:rowOff>28575</xdr:rowOff>
        </xdr:from>
        <xdr:to>
          <xdr:col>1</xdr:col>
          <xdr:colOff>3038475</xdr:colOff>
          <xdr:row>100</xdr:row>
          <xdr:rowOff>95250</xdr:rowOff>
        </xdr:to>
        <xdr:sp macro="" textlink="">
          <xdr:nvSpPr>
            <xdr:cNvPr id="33823" name="beam_design_etabs" descr="Reinforcement Demand" hidden="1">
              <a:extLst>
                <a:ext uri="{63B3BB69-23CF-44E3-9099-C40C66FF867C}">
                  <a14:compatExt spid="_x0000_s33823"/>
                </a:ext>
                <a:ext uri="{FF2B5EF4-FFF2-40B4-BE49-F238E27FC236}">
                  <a16:creationId xmlns:a16="http://schemas.microsoft.com/office/drawing/2014/main" id="{00000000-0008-0000-0100-00001F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571500</xdr:colOff>
          <xdr:row>101</xdr:row>
          <xdr:rowOff>28575</xdr:rowOff>
        </xdr:from>
        <xdr:to>
          <xdr:col>1</xdr:col>
          <xdr:colOff>3038475</xdr:colOff>
          <xdr:row>102</xdr:row>
          <xdr:rowOff>95250</xdr:rowOff>
        </xdr:to>
        <xdr:sp macro="" textlink="">
          <xdr:nvSpPr>
            <xdr:cNvPr id="33824" name="beam_design_excel" descr="Reinforcement Demand" hidden="1">
              <a:extLst>
                <a:ext uri="{63B3BB69-23CF-44E3-9099-C40C66FF867C}">
                  <a14:compatExt spid="_x0000_s33824"/>
                </a:ext>
                <a:ext uri="{FF2B5EF4-FFF2-40B4-BE49-F238E27FC236}">
                  <a16:creationId xmlns:a16="http://schemas.microsoft.com/office/drawing/2014/main" id="{00000000-0008-0000-0100-000020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571500</xdr:colOff>
          <xdr:row>103</xdr:row>
          <xdr:rowOff>28575</xdr:rowOff>
        </xdr:from>
        <xdr:to>
          <xdr:col>1</xdr:col>
          <xdr:colOff>3038475</xdr:colOff>
          <xdr:row>104</xdr:row>
          <xdr:rowOff>95250</xdr:rowOff>
        </xdr:to>
        <xdr:sp macro="" textlink="">
          <xdr:nvSpPr>
            <xdr:cNvPr id="33825" name="footing_loads" descr="Reinforcement Demand" hidden="1">
              <a:extLst>
                <a:ext uri="{63B3BB69-23CF-44E3-9099-C40C66FF867C}">
                  <a14:compatExt spid="_x0000_s33825"/>
                </a:ext>
                <a:ext uri="{FF2B5EF4-FFF2-40B4-BE49-F238E27FC236}">
                  <a16:creationId xmlns:a16="http://schemas.microsoft.com/office/drawing/2014/main" id="{00000000-0008-0000-0100-000021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571500</xdr:colOff>
          <xdr:row>105</xdr:row>
          <xdr:rowOff>28575</xdr:rowOff>
        </xdr:from>
        <xdr:to>
          <xdr:col>1</xdr:col>
          <xdr:colOff>3038475</xdr:colOff>
          <xdr:row>106</xdr:row>
          <xdr:rowOff>95250</xdr:rowOff>
        </xdr:to>
        <xdr:sp macro="" textlink="">
          <xdr:nvSpPr>
            <xdr:cNvPr id="33826" name="isolated_footing_excel" descr="Reinforcement Demand" hidden="1">
              <a:extLst>
                <a:ext uri="{63B3BB69-23CF-44E3-9099-C40C66FF867C}">
                  <a14:compatExt spid="_x0000_s33826"/>
                </a:ext>
                <a:ext uri="{FF2B5EF4-FFF2-40B4-BE49-F238E27FC236}">
                  <a16:creationId xmlns:a16="http://schemas.microsoft.com/office/drawing/2014/main" id="{00000000-0008-0000-0100-000022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571500</xdr:colOff>
          <xdr:row>107</xdr:row>
          <xdr:rowOff>28575</xdr:rowOff>
        </xdr:from>
        <xdr:to>
          <xdr:col>1</xdr:col>
          <xdr:colOff>3038475</xdr:colOff>
          <xdr:row>108</xdr:row>
          <xdr:rowOff>95250</xdr:rowOff>
        </xdr:to>
        <xdr:sp macro="" textlink="">
          <xdr:nvSpPr>
            <xdr:cNvPr id="33827" name="eccentric_footing_excel" descr="Reinforcement Demand" hidden="1">
              <a:extLst>
                <a:ext uri="{63B3BB69-23CF-44E3-9099-C40C66FF867C}">
                  <a14:compatExt spid="_x0000_s33827"/>
                </a:ext>
                <a:ext uri="{FF2B5EF4-FFF2-40B4-BE49-F238E27FC236}">
                  <a16:creationId xmlns:a16="http://schemas.microsoft.com/office/drawing/2014/main" id="{00000000-0008-0000-0100-000023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571500</xdr:colOff>
          <xdr:row>109</xdr:row>
          <xdr:rowOff>28575</xdr:rowOff>
        </xdr:from>
        <xdr:to>
          <xdr:col>1</xdr:col>
          <xdr:colOff>3038475</xdr:colOff>
          <xdr:row>110</xdr:row>
          <xdr:rowOff>95250</xdr:rowOff>
        </xdr:to>
        <xdr:sp macro="" textlink="">
          <xdr:nvSpPr>
            <xdr:cNvPr id="33828" name="modal_mass_excel" descr="Reinforcement Demand" hidden="1">
              <a:extLst>
                <a:ext uri="{63B3BB69-23CF-44E3-9099-C40C66FF867C}">
                  <a14:compatExt spid="_x0000_s33828"/>
                </a:ext>
                <a:ext uri="{FF2B5EF4-FFF2-40B4-BE49-F238E27FC236}">
                  <a16:creationId xmlns:a16="http://schemas.microsoft.com/office/drawing/2014/main" id="{00000000-0008-0000-0100-000024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571500</xdr:colOff>
          <xdr:row>111</xdr:row>
          <xdr:rowOff>85725</xdr:rowOff>
        </xdr:from>
        <xdr:to>
          <xdr:col>1</xdr:col>
          <xdr:colOff>3038475</xdr:colOff>
          <xdr:row>112</xdr:row>
          <xdr:rowOff>152400</xdr:rowOff>
        </xdr:to>
        <xdr:sp macro="" textlink="">
          <xdr:nvSpPr>
            <xdr:cNvPr id="33829" name="diaphragm_max_avg" descr="Reinforcement Demand" hidden="1">
              <a:extLst>
                <a:ext uri="{63B3BB69-23CF-44E3-9099-C40C66FF867C}">
                  <a14:compatExt spid="_x0000_s33829"/>
                </a:ext>
                <a:ext uri="{FF2B5EF4-FFF2-40B4-BE49-F238E27FC236}">
                  <a16:creationId xmlns:a16="http://schemas.microsoft.com/office/drawing/2014/main" id="{00000000-0008-0000-0100-000025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561975</xdr:colOff>
          <xdr:row>113</xdr:row>
          <xdr:rowOff>95250</xdr:rowOff>
        </xdr:from>
        <xdr:to>
          <xdr:col>2</xdr:col>
          <xdr:colOff>0</xdr:colOff>
          <xdr:row>114</xdr:row>
          <xdr:rowOff>133350</xdr:rowOff>
        </xdr:to>
        <xdr:sp macro="" textlink="">
          <xdr:nvSpPr>
            <xdr:cNvPr id="33834" name="nbc_code" hidden="1">
              <a:extLst>
                <a:ext uri="{63B3BB69-23CF-44E3-9099-C40C66FF867C}">
                  <a14:compatExt spid="_x0000_s33834"/>
                </a:ext>
                <a:ext uri="{FF2B5EF4-FFF2-40B4-BE49-F238E27FC236}">
                  <a16:creationId xmlns:a16="http://schemas.microsoft.com/office/drawing/2014/main" id="{00000000-0008-0000-0100-00002A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561975</xdr:colOff>
          <xdr:row>113</xdr:row>
          <xdr:rowOff>95250</xdr:rowOff>
        </xdr:from>
        <xdr:to>
          <xdr:col>5</xdr:col>
          <xdr:colOff>200025</xdr:colOff>
          <xdr:row>114</xdr:row>
          <xdr:rowOff>133350</xdr:rowOff>
        </xdr:to>
        <xdr:sp macro="" textlink="">
          <xdr:nvSpPr>
            <xdr:cNvPr id="33835" name="is_code" hidden="1">
              <a:extLst>
                <a:ext uri="{63B3BB69-23CF-44E3-9099-C40C66FF867C}">
                  <a14:compatExt spid="_x0000_s33835"/>
                </a:ext>
                <a:ext uri="{FF2B5EF4-FFF2-40B4-BE49-F238E27FC236}">
                  <a16:creationId xmlns:a16="http://schemas.microsoft.com/office/drawing/2014/main" id="{00000000-0008-0000-0100-00002B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561975</xdr:colOff>
          <xdr:row>113</xdr:row>
          <xdr:rowOff>95250</xdr:rowOff>
        </xdr:from>
        <xdr:to>
          <xdr:col>7</xdr:col>
          <xdr:colOff>1828800</xdr:colOff>
          <xdr:row>114</xdr:row>
          <xdr:rowOff>133350</xdr:rowOff>
        </xdr:to>
        <xdr:sp macro="" textlink="">
          <xdr:nvSpPr>
            <xdr:cNvPr id="33837" name="nbc_is_combined" hidden="1">
              <a:extLst>
                <a:ext uri="{63B3BB69-23CF-44E3-9099-C40C66FF867C}">
                  <a14:compatExt spid="_x0000_s33837"/>
                </a:ext>
                <a:ext uri="{FF2B5EF4-FFF2-40B4-BE49-F238E27FC236}">
                  <a16:creationId xmlns:a16="http://schemas.microsoft.com/office/drawing/2014/main" id="{00000000-0008-0000-0100-00002D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1047750</xdr:colOff>
          <xdr:row>88</xdr:row>
          <xdr:rowOff>161925</xdr:rowOff>
        </xdr:from>
        <xdr:to>
          <xdr:col>7</xdr:col>
          <xdr:colOff>161925</xdr:colOff>
          <xdr:row>90</xdr:row>
          <xdr:rowOff>38100</xdr:rowOff>
        </xdr:to>
        <xdr:sp macro="" textlink="">
          <xdr:nvSpPr>
            <xdr:cNvPr id="33840" name="story_deflection_plot_ss" descr="Reinforcement Demand" hidden="1">
              <a:extLst>
                <a:ext uri="{63B3BB69-23CF-44E3-9099-C40C66FF867C}">
                  <a14:compatExt spid="_x0000_s33840"/>
                </a:ext>
                <a:ext uri="{FF2B5EF4-FFF2-40B4-BE49-F238E27FC236}">
                  <a16:creationId xmlns:a16="http://schemas.microsoft.com/office/drawing/2014/main" id="{00000000-0008-0000-0100-000030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561975</xdr:colOff>
          <xdr:row>115</xdr:row>
          <xdr:rowOff>95250</xdr:rowOff>
        </xdr:from>
        <xdr:to>
          <xdr:col>2</xdr:col>
          <xdr:colOff>0</xdr:colOff>
          <xdr:row>116</xdr:row>
          <xdr:rowOff>133350</xdr:rowOff>
        </xdr:to>
        <xdr:sp macro="" textlink="">
          <xdr:nvSpPr>
            <xdr:cNvPr id="33847" name="quick_mode" hidden="1">
              <a:extLst>
                <a:ext uri="{63B3BB69-23CF-44E3-9099-C40C66FF867C}">
                  <a14:compatExt spid="_x0000_s33847"/>
                </a:ext>
                <a:ext uri="{FF2B5EF4-FFF2-40B4-BE49-F238E27FC236}">
                  <a16:creationId xmlns:a16="http://schemas.microsoft.com/office/drawing/2014/main" id="{00000000-0008-0000-0100-000037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561975</xdr:colOff>
          <xdr:row>115</xdr:row>
          <xdr:rowOff>95250</xdr:rowOff>
        </xdr:from>
        <xdr:to>
          <xdr:col>5</xdr:col>
          <xdr:colOff>200025</xdr:colOff>
          <xdr:row>116</xdr:row>
          <xdr:rowOff>133350</xdr:rowOff>
        </xdr:to>
        <xdr:sp macro="" textlink="">
          <xdr:nvSpPr>
            <xdr:cNvPr id="33848" name="graphics_mode" hidden="1">
              <a:extLst>
                <a:ext uri="{63B3BB69-23CF-44E3-9099-C40C66FF867C}">
                  <a14:compatExt spid="_x0000_s33848"/>
                </a:ext>
                <a:ext uri="{FF2B5EF4-FFF2-40B4-BE49-F238E27FC236}">
                  <a16:creationId xmlns:a16="http://schemas.microsoft.com/office/drawing/2014/main" id="{00000000-0008-0000-0100-000038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561975</xdr:colOff>
          <xdr:row>111</xdr:row>
          <xdr:rowOff>95250</xdr:rowOff>
        </xdr:from>
        <xdr:to>
          <xdr:col>5</xdr:col>
          <xdr:colOff>200025</xdr:colOff>
          <xdr:row>112</xdr:row>
          <xdr:rowOff>133350</xdr:rowOff>
        </xdr:to>
        <xdr:sp macro="" textlink="">
          <xdr:nvSpPr>
            <xdr:cNvPr id="33850" name="max_avg_eq" hidden="1">
              <a:extLst>
                <a:ext uri="{63B3BB69-23CF-44E3-9099-C40C66FF867C}">
                  <a14:compatExt spid="_x0000_s33850"/>
                </a:ext>
                <a:ext uri="{FF2B5EF4-FFF2-40B4-BE49-F238E27FC236}">
                  <a16:creationId xmlns:a16="http://schemas.microsoft.com/office/drawing/2014/main" id="{00000000-0008-0000-0100-00003A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561975</xdr:colOff>
          <xdr:row>111</xdr:row>
          <xdr:rowOff>95250</xdr:rowOff>
        </xdr:from>
        <xdr:to>
          <xdr:col>7</xdr:col>
          <xdr:colOff>1828800</xdr:colOff>
          <xdr:row>112</xdr:row>
          <xdr:rowOff>133350</xdr:rowOff>
        </xdr:to>
        <xdr:sp macro="" textlink="">
          <xdr:nvSpPr>
            <xdr:cNvPr id="33851" name="Max_Avg_All" hidden="1">
              <a:extLst>
                <a:ext uri="{63B3BB69-23CF-44E3-9099-C40C66FF867C}">
                  <a14:compatExt spid="_x0000_s33851"/>
                </a:ext>
                <a:ext uri="{FF2B5EF4-FFF2-40B4-BE49-F238E27FC236}">
                  <a16:creationId xmlns:a16="http://schemas.microsoft.com/office/drawing/2014/main" id="{00000000-0008-0000-0100-00003B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1047750</xdr:colOff>
          <xdr:row>90</xdr:row>
          <xdr:rowOff>161925</xdr:rowOff>
        </xdr:from>
        <xdr:to>
          <xdr:col>7</xdr:col>
          <xdr:colOff>161925</xdr:colOff>
          <xdr:row>92</xdr:row>
          <xdr:rowOff>38100</xdr:rowOff>
        </xdr:to>
        <xdr:sp macro="" textlink="">
          <xdr:nvSpPr>
            <xdr:cNvPr id="33852" name="story_drift_plot_ss" descr="Reinforcement Demand" hidden="1">
              <a:extLst>
                <a:ext uri="{63B3BB69-23CF-44E3-9099-C40C66FF867C}">
                  <a14:compatExt spid="_x0000_s33852"/>
                </a:ext>
                <a:ext uri="{FF2B5EF4-FFF2-40B4-BE49-F238E27FC236}">
                  <a16:creationId xmlns:a16="http://schemas.microsoft.com/office/drawing/2014/main" id="{00000000-0008-0000-0100-00003C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571500</xdr:colOff>
          <xdr:row>117</xdr:row>
          <xdr:rowOff>85725</xdr:rowOff>
        </xdr:from>
        <xdr:to>
          <xdr:col>1</xdr:col>
          <xdr:colOff>3038475</xdr:colOff>
          <xdr:row>118</xdr:row>
          <xdr:rowOff>152400</xdr:rowOff>
        </xdr:to>
        <xdr:sp macro="" textlink="">
          <xdr:nvSpPr>
            <xdr:cNvPr id="33853" name="story_drifts" descr="Reinforcement Demand" hidden="1">
              <a:extLst>
                <a:ext uri="{63B3BB69-23CF-44E3-9099-C40C66FF867C}">
                  <a14:compatExt spid="_x0000_s33853"/>
                </a:ext>
                <a:ext uri="{FF2B5EF4-FFF2-40B4-BE49-F238E27FC236}">
                  <a16:creationId xmlns:a16="http://schemas.microsoft.com/office/drawing/2014/main" id="{00000000-0008-0000-0100-00003D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561975</xdr:colOff>
          <xdr:row>117</xdr:row>
          <xdr:rowOff>95250</xdr:rowOff>
        </xdr:from>
        <xdr:to>
          <xdr:col>5</xdr:col>
          <xdr:colOff>200025</xdr:colOff>
          <xdr:row>118</xdr:row>
          <xdr:rowOff>133350</xdr:rowOff>
        </xdr:to>
        <xdr:sp macro="" textlink="">
          <xdr:nvSpPr>
            <xdr:cNvPr id="33854" name="drifts_eq" hidden="1">
              <a:extLst>
                <a:ext uri="{63B3BB69-23CF-44E3-9099-C40C66FF867C}">
                  <a14:compatExt spid="_x0000_s33854"/>
                </a:ext>
                <a:ext uri="{FF2B5EF4-FFF2-40B4-BE49-F238E27FC236}">
                  <a16:creationId xmlns:a16="http://schemas.microsoft.com/office/drawing/2014/main" id="{00000000-0008-0000-0100-00003E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561975</xdr:colOff>
          <xdr:row>117</xdr:row>
          <xdr:rowOff>95250</xdr:rowOff>
        </xdr:from>
        <xdr:to>
          <xdr:col>7</xdr:col>
          <xdr:colOff>1828800</xdr:colOff>
          <xdr:row>118</xdr:row>
          <xdr:rowOff>133350</xdr:rowOff>
        </xdr:to>
        <xdr:sp macro="" textlink="">
          <xdr:nvSpPr>
            <xdr:cNvPr id="33855" name="drifts_all" hidden="1">
              <a:extLst>
                <a:ext uri="{63B3BB69-23CF-44E3-9099-C40C66FF867C}">
                  <a14:compatExt spid="_x0000_s33855"/>
                </a:ext>
                <a:ext uri="{FF2B5EF4-FFF2-40B4-BE49-F238E27FC236}">
                  <a16:creationId xmlns:a16="http://schemas.microsoft.com/office/drawing/2014/main" id="{00000000-0008-0000-0100-00003F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571500</xdr:colOff>
          <xdr:row>124</xdr:row>
          <xdr:rowOff>85725</xdr:rowOff>
        </xdr:from>
        <xdr:to>
          <xdr:col>7</xdr:col>
          <xdr:colOff>1895475</xdr:colOff>
          <xdr:row>125</xdr:row>
          <xdr:rowOff>152400</xdr:rowOff>
        </xdr:to>
        <xdr:sp macro="" textlink="">
          <xdr:nvSpPr>
            <xdr:cNvPr id="33860" name="data_writer" descr="Reinforcement Demand" hidden="1">
              <a:extLst>
                <a:ext uri="{63B3BB69-23CF-44E3-9099-C40C66FF867C}">
                  <a14:compatExt spid="_x0000_s33860"/>
                </a:ext>
                <a:ext uri="{FF2B5EF4-FFF2-40B4-BE49-F238E27FC236}">
                  <a16:creationId xmlns:a16="http://schemas.microsoft.com/office/drawing/2014/main" id="{00000000-0008-0000-0100-000044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228600</xdr:colOff>
          <xdr:row>124</xdr:row>
          <xdr:rowOff>85725</xdr:rowOff>
        </xdr:from>
        <xdr:to>
          <xdr:col>1</xdr:col>
          <xdr:colOff>2771775</xdr:colOff>
          <xdr:row>125</xdr:row>
          <xdr:rowOff>152400</xdr:rowOff>
        </xdr:to>
        <xdr:sp macro="" textlink="">
          <xdr:nvSpPr>
            <xdr:cNvPr id="33927" name="general_images" descr="Reinforcement Demand" hidden="1">
              <a:extLst>
                <a:ext uri="{63B3BB69-23CF-44E3-9099-C40C66FF867C}">
                  <a14:compatExt spid="_x0000_s33927"/>
                </a:ext>
                <a:ext uri="{FF2B5EF4-FFF2-40B4-BE49-F238E27FC236}">
                  <a16:creationId xmlns:a16="http://schemas.microsoft.com/office/drawing/2014/main" id="{00000000-0008-0000-0100-000087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228600</xdr:colOff>
          <xdr:row>126</xdr:row>
          <xdr:rowOff>85725</xdr:rowOff>
        </xdr:from>
        <xdr:to>
          <xdr:col>1</xdr:col>
          <xdr:colOff>2771775</xdr:colOff>
          <xdr:row>127</xdr:row>
          <xdr:rowOff>152400</xdr:rowOff>
        </xdr:to>
        <xdr:sp macro="" textlink="">
          <xdr:nvSpPr>
            <xdr:cNvPr id="33928" name="stresses_diagrams" descr="Reinforcement Demand" hidden="1">
              <a:extLst>
                <a:ext uri="{63B3BB69-23CF-44E3-9099-C40C66FF867C}">
                  <a14:compatExt spid="_x0000_s33928"/>
                </a:ext>
                <a:ext uri="{FF2B5EF4-FFF2-40B4-BE49-F238E27FC236}">
                  <a16:creationId xmlns:a16="http://schemas.microsoft.com/office/drawing/2014/main" id="{00000000-0008-0000-0100-000088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228600</xdr:colOff>
          <xdr:row>128</xdr:row>
          <xdr:rowOff>85725</xdr:rowOff>
        </xdr:from>
        <xdr:to>
          <xdr:col>1</xdr:col>
          <xdr:colOff>2771775</xdr:colOff>
          <xdr:row>129</xdr:row>
          <xdr:rowOff>152400</xdr:rowOff>
        </xdr:to>
        <xdr:sp macro="" textlink="">
          <xdr:nvSpPr>
            <xdr:cNvPr id="33929" name="forces_diagrams" descr="Reinforcement Demand" hidden="1">
              <a:extLst>
                <a:ext uri="{63B3BB69-23CF-44E3-9099-C40C66FF867C}">
                  <a14:compatExt spid="_x0000_s33929"/>
                </a:ext>
                <a:ext uri="{FF2B5EF4-FFF2-40B4-BE49-F238E27FC236}">
                  <a16:creationId xmlns:a16="http://schemas.microsoft.com/office/drawing/2014/main" id="{00000000-0008-0000-0100-000089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228600</xdr:colOff>
          <xdr:row>130</xdr:row>
          <xdr:rowOff>85725</xdr:rowOff>
        </xdr:from>
        <xdr:to>
          <xdr:col>1</xdr:col>
          <xdr:colOff>2771775</xdr:colOff>
          <xdr:row>131</xdr:row>
          <xdr:rowOff>152400</xdr:rowOff>
        </xdr:to>
        <xdr:sp macro="" textlink="">
          <xdr:nvSpPr>
            <xdr:cNvPr id="33930" name="design_details" descr="Reinforcement Demand" hidden="1">
              <a:extLst>
                <a:ext uri="{63B3BB69-23CF-44E3-9099-C40C66FF867C}">
                  <a14:compatExt spid="_x0000_s33930"/>
                </a:ext>
                <a:ext uri="{FF2B5EF4-FFF2-40B4-BE49-F238E27FC236}">
                  <a16:creationId xmlns:a16="http://schemas.microsoft.com/office/drawing/2014/main" id="{00000000-0008-0000-0100-00008A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228600</xdr:colOff>
          <xdr:row>132</xdr:row>
          <xdr:rowOff>85725</xdr:rowOff>
        </xdr:from>
        <xdr:to>
          <xdr:col>1</xdr:col>
          <xdr:colOff>2771775</xdr:colOff>
          <xdr:row>133</xdr:row>
          <xdr:rowOff>152400</xdr:rowOff>
        </xdr:to>
        <xdr:sp macro="" textlink="">
          <xdr:nvSpPr>
            <xdr:cNvPr id="33931" name="story_response" descr="Reinforcement Demand" hidden="1">
              <a:extLst>
                <a:ext uri="{63B3BB69-23CF-44E3-9099-C40C66FF867C}">
                  <a14:compatExt spid="_x0000_s33931"/>
                </a:ext>
                <a:ext uri="{FF2B5EF4-FFF2-40B4-BE49-F238E27FC236}">
                  <a16:creationId xmlns:a16="http://schemas.microsoft.com/office/drawing/2014/main" id="{00000000-0008-0000-0100-00008B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228600</xdr:colOff>
          <xdr:row>134</xdr:row>
          <xdr:rowOff>85725</xdr:rowOff>
        </xdr:from>
        <xdr:to>
          <xdr:col>1</xdr:col>
          <xdr:colOff>2771775</xdr:colOff>
          <xdr:row>135</xdr:row>
          <xdr:rowOff>152400</xdr:rowOff>
        </xdr:to>
        <xdr:sp macro="" textlink="">
          <xdr:nvSpPr>
            <xdr:cNvPr id="33932" name="design_excel" descr="Reinforcement Demand" hidden="1">
              <a:extLst>
                <a:ext uri="{63B3BB69-23CF-44E3-9099-C40C66FF867C}">
                  <a14:compatExt spid="_x0000_s33932"/>
                </a:ext>
                <a:ext uri="{FF2B5EF4-FFF2-40B4-BE49-F238E27FC236}">
                  <a16:creationId xmlns:a16="http://schemas.microsoft.com/office/drawing/2014/main" id="{00000000-0008-0000-0100-00008C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228600</xdr:colOff>
          <xdr:row>136</xdr:row>
          <xdr:rowOff>85725</xdr:rowOff>
        </xdr:from>
        <xdr:to>
          <xdr:col>1</xdr:col>
          <xdr:colOff>2771775</xdr:colOff>
          <xdr:row>137</xdr:row>
          <xdr:rowOff>152400</xdr:rowOff>
        </xdr:to>
        <xdr:sp macro="" textlink="">
          <xdr:nvSpPr>
            <xdr:cNvPr id="33933" name="etabs_excelsheet" descr="Reinforcement Demand" hidden="1">
              <a:extLst>
                <a:ext uri="{63B3BB69-23CF-44E3-9099-C40C66FF867C}">
                  <a14:compatExt spid="_x0000_s33933"/>
                </a:ext>
                <a:ext uri="{FF2B5EF4-FFF2-40B4-BE49-F238E27FC236}">
                  <a16:creationId xmlns:a16="http://schemas.microsoft.com/office/drawing/2014/main" id="{00000000-0008-0000-0100-00008D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342900</xdr:colOff>
          <xdr:row>124</xdr:row>
          <xdr:rowOff>85725</xdr:rowOff>
        </xdr:from>
        <xdr:to>
          <xdr:col>5</xdr:col>
          <xdr:colOff>38100</xdr:colOff>
          <xdr:row>125</xdr:row>
          <xdr:rowOff>152400</xdr:rowOff>
        </xdr:to>
        <xdr:sp macro="" textlink="">
          <xdr:nvSpPr>
            <xdr:cNvPr id="33934" name="etabs_excel_modifier" descr="Reinforcement Demand" hidden="1">
              <a:extLst>
                <a:ext uri="{63B3BB69-23CF-44E3-9099-C40C66FF867C}">
                  <a14:compatExt spid="_x0000_s33934"/>
                </a:ext>
                <a:ext uri="{FF2B5EF4-FFF2-40B4-BE49-F238E27FC236}">
                  <a16:creationId xmlns:a16="http://schemas.microsoft.com/office/drawing/2014/main" id="{00000000-0008-0000-0100-00008E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342900</xdr:colOff>
          <xdr:row>126</xdr:row>
          <xdr:rowOff>85725</xdr:rowOff>
        </xdr:from>
        <xdr:to>
          <xdr:col>5</xdr:col>
          <xdr:colOff>38100</xdr:colOff>
          <xdr:row>127</xdr:row>
          <xdr:rowOff>152400</xdr:rowOff>
        </xdr:to>
        <xdr:sp macro="" textlink="">
          <xdr:nvSpPr>
            <xdr:cNvPr id="33935" name="etabs_excel_pdf" descr="Reinforcement Demand" hidden="1">
              <a:extLst>
                <a:ext uri="{63B3BB69-23CF-44E3-9099-C40C66FF867C}">
                  <a14:compatExt spid="_x0000_s33935"/>
                </a:ext>
                <a:ext uri="{FF2B5EF4-FFF2-40B4-BE49-F238E27FC236}">
                  <a16:creationId xmlns:a16="http://schemas.microsoft.com/office/drawing/2014/main" id="{00000000-0008-0000-0100-00008F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342900</xdr:colOff>
          <xdr:row>128</xdr:row>
          <xdr:rowOff>85725</xdr:rowOff>
        </xdr:from>
        <xdr:to>
          <xdr:col>5</xdr:col>
          <xdr:colOff>38100</xdr:colOff>
          <xdr:row>129</xdr:row>
          <xdr:rowOff>152400</xdr:rowOff>
        </xdr:to>
        <xdr:sp macro="" textlink="">
          <xdr:nvSpPr>
            <xdr:cNvPr id="33936" name="pdf_to_jpg" descr="Reinforcement Demand" hidden="1">
              <a:extLst>
                <a:ext uri="{63B3BB69-23CF-44E3-9099-C40C66FF867C}">
                  <a14:compatExt spid="_x0000_s33936"/>
                </a:ext>
                <a:ext uri="{FF2B5EF4-FFF2-40B4-BE49-F238E27FC236}">
                  <a16:creationId xmlns:a16="http://schemas.microsoft.com/office/drawing/2014/main" id="{00000000-0008-0000-0100-000090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874058</xdr:colOff>
      <xdr:row>138</xdr:row>
      <xdr:rowOff>89648</xdr:rowOff>
    </xdr:from>
    <xdr:to>
      <xdr:col>3</xdr:col>
      <xdr:colOff>930089</xdr:colOff>
      <xdr:row>141</xdr:row>
      <xdr:rowOff>22412</xdr:rowOff>
    </xdr:to>
    <xdr:sp macro="[0]!RunPythonScript" textlink="">
      <xdr:nvSpPr>
        <xdr:cNvPr id="3" name="Rectangle: Rounded Corners 2">
          <a:extLst>
            <a:ext uri="{FF2B5EF4-FFF2-40B4-BE49-F238E27FC236}">
              <a16:creationId xmlns:a16="http://schemas.microsoft.com/office/drawing/2014/main" id="{00000000-0008-0000-0100-000003000000}"/>
            </a:ext>
          </a:extLst>
        </xdr:cNvPr>
        <xdr:cNvSpPr/>
      </xdr:nvSpPr>
      <xdr:spPr>
        <a:xfrm>
          <a:off x="4527176" y="26445883"/>
          <a:ext cx="1120589" cy="504264"/>
        </a:xfrm>
        <a:prstGeom prst="roundRect">
          <a:avLst>
            <a:gd name="adj" fmla="val 50000"/>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b="1" i="1">
              <a:solidFill>
                <a:srgbClr val="FFFF00"/>
              </a:solidFill>
              <a:latin typeface="Times New Roman" panose="02020603050405020304" pitchFamily="18" charset="0"/>
              <a:cs typeface="Times New Roman" panose="02020603050405020304" pitchFamily="18" charset="0"/>
            </a:rPr>
            <a:t>RUN</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13</xdr:col>
      <xdr:colOff>81643</xdr:colOff>
      <xdr:row>31</xdr:row>
      <xdr:rowOff>217714</xdr:rowOff>
    </xdr:from>
    <xdr:to>
      <xdr:col>20</xdr:col>
      <xdr:colOff>188728</xdr:colOff>
      <xdr:row>38</xdr:row>
      <xdr:rowOff>123896</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5407368" y="6666139"/>
          <a:ext cx="4907685" cy="139208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123825</xdr:colOff>
      <xdr:row>26</xdr:row>
      <xdr:rowOff>0</xdr:rowOff>
    </xdr:from>
    <xdr:to>
      <xdr:col>5</xdr:col>
      <xdr:colOff>76200</xdr:colOff>
      <xdr:row>28</xdr:row>
      <xdr:rowOff>9525</xdr:rowOff>
    </xdr:to>
    <xdr:pic>
      <xdr:nvPicPr>
        <xdr:cNvPr id="5634" name="CheckBox1">
          <a:extLst>
            <a:ext uri="{FF2B5EF4-FFF2-40B4-BE49-F238E27FC236}">
              <a16:creationId xmlns:a16="http://schemas.microsoft.com/office/drawing/2014/main" id="{00000000-0008-0000-0600-0000021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76325" y="4324350"/>
          <a:ext cx="3609975"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2</xdr:col>
      <xdr:colOff>704850</xdr:colOff>
      <xdr:row>124</xdr:row>
      <xdr:rowOff>104775</xdr:rowOff>
    </xdr:from>
    <xdr:to>
      <xdr:col>6</xdr:col>
      <xdr:colOff>9525</xdr:colOff>
      <xdr:row>124</xdr:row>
      <xdr:rowOff>228600</xdr:rowOff>
    </xdr:to>
    <xdr:grpSp>
      <xdr:nvGrpSpPr>
        <xdr:cNvPr id="275737" name="Group 67">
          <a:extLst>
            <a:ext uri="{FF2B5EF4-FFF2-40B4-BE49-F238E27FC236}">
              <a16:creationId xmlns:a16="http://schemas.microsoft.com/office/drawing/2014/main" id="{00000000-0008-0000-0800-000019350400}"/>
            </a:ext>
          </a:extLst>
        </xdr:cNvPr>
        <xdr:cNvGrpSpPr>
          <a:grpSpLocks/>
        </xdr:cNvGrpSpPr>
      </xdr:nvGrpSpPr>
      <xdr:grpSpPr bwMode="auto">
        <a:xfrm>
          <a:off x="1847850" y="21109471"/>
          <a:ext cx="3205784" cy="123825"/>
          <a:chOff x="1397646" y="20836758"/>
          <a:chExt cx="3074694" cy="120581"/>
        </a:xfrm>
      </xdr:grpSpPr>
      <xdr:cxnSp macro="">
        <xdr:nvCxnSpPr>
          <xdr:cNvPr id="78" name="Straight Connector 77">
            <a:extLst>
              <a:ext uri="{FF2B5EF4-FFF2-40B4-BE49-F238E27FC236}">
                <a16:creationId xmlns:a16="http://schemas.microsoft.com/office/drawing/2014/main" id="{00000000-0008-0000-0800-00004E000000}"/>
              </a:ext>
            </a:extLst>
          </xdr:cNvPr>
          <xdr:cNvCxnSpPr/>
        </xdr:nvCxnSpPr>
        <xdr:spPr>
          <a:xfrm>
            <a:off x="1397646" y="20957339"/>
            <a:ext cx="3074694" cy="0"/>
          </a:xfrm>
          <a:prstGeom prst="line">
            <a:avLst/>
          </a:prstGeom>
          <a:ln w="22225"/>
        </xdr:spPr>
        <xdr:style>
          <a:lnRef idx="1">
            <a:schemeClr val="dk1"/>
          </a:lnRef>
          <a:fillRef idx="0">
            <a:schemeClr val="dk1"/>
          </a:fillRef>
          <a:effectRef idx="0">
            <a:schemeClr val="dk1"/>
          </a:effectRef>
          <a:fontRef idx="minor">
            <a:schemeClr val="tx1"/>
          </a:fontRef>
        </xdr:style>
      </xdr:cxnSp>
      <xdr:grpSp>
        <xdr:nvGrpSpPr>
          <xdr:cNvPr id="275790" name="Group 66">
            <a:extLst>
              <a:ext uri="{FF2B5EF4-FFF2-40B4-BE49-F238E27FC236}">
                <a16:creationId xmlns:a16="http://schemas.microsoft.com/office/drawing/2014/main" id="{00000000-0008-0000-0800-00004E350400}"/>
              </a:ext>
            </a:extLst>
          </xdr:cNvPr>
          <xdr:cNvGrpSpPr>
            <a:grpSpLocks/>
          </xdr:cNvGrpSpPr>
        </xdr:nvGrpSpPr>
        <xdr:grpSpPr bwMode="auto">
          <a:xfrm>
            <a:off x="1397646" y="20836758"/>
            <a:ext cx="3070046" cy="114343"/>
            <a:chOff x="1397646" y="20706924"/>
            <a:chExt cx="3070046" cy="244178"/>
          </a:xfrm>
        </xdr:grpSpPr>
        <xdr:cxnSp macro="">
          <xdr:nvCxnSpPr>
            <xdr:cNvPr id="76" name="Straight Connector 75">
              <a:extLst>
                <a:ext uri="{FF2B5EF4-FFF2-40B4-BE49-F238E27FC236}">
                  <a16:creationId xmlns:a16="http://schemas.microsoft.com/office/drawing/2014/main" id="{00000000-0008-0000-0800-00004C000000}"/>
                </a:ext>
              </a:extLst>
            </xdr:cNvPr>
            <xdr:cNvCxnSpPr/>
          </xdr:nvCxnSpPr>
          <xdr:spPr>
            <a:xfrm rot="5400000">
              <a:off x="1288703" y="20855482"/>
              <a:ext cx="217884" cy="0"/>
            </a:xfrm>
            <a:prstGeom prst="line">
              <a:avLst/>
            </a:prstGeom>
            <a:ln w="22225"/>
          </xdr:spPr>
          <xdr:style>
            <a:lnRef idx="1">
              <a:schemeClr val="dk1"/>
            </a:lnRef>
            <a:fillRef idx="0">
              <a:schemeClr val="dk1"/>
            </a:fillRef>
            <a:effectRef idx="0">
              <a:schemeClr val="dk1"/>
            </a:effectRef>
            <a:fontRef idx="minor">
              <a:schemeClr val="tx1"/>
            </a:fontRef>
          </xdr:style>
        </xdr:cxnSp>
        <xdr:cxnSp macro="">
          <xdr:nvCxnSpPr>
            <xdr:cNvPr id="80" name="Straight Connector 79">
              <a:extLst>
                <a:ext uri="{FF2B5EF4-FFF2-40B4-BE49-F238E27FC236}">
                  <a16:creationId xmlns:a16="http://schemas.microsoft.com/office/drawing/2014/main" id="{00000000-0008-0000-0800-000050000000}"/>
                </a:ext>
              </a:extLst>
            </xdr:cNvPr>
            <xdr:cNvCxnSpPr/>
          </xdr:nvCxnSpPr>
          <xdr:spPr>
            <a:xfrm rot="5400000" flipH="1" flipV="1">
              <a:off x="4343589" y="20835675"/>
              <a:ext cx="257500" cy="0"/>
            </a:xfrm>
            <a:prstGeom prst="line">
              <a:avLst/>
            </a:prstGeom>
            <a:ln w="22225"/>
          </xdr:spPr>
          <xdr:style>
            <a:lnRef idx="1">
              <a:schemeClr val="dk1"/>
            </a:lnRef>
            <a:fillRef idx="0">
              <a:schemeClr val="dk1"/>
            </a:fillRef>
            <a:effectRef idx="0">
              <a:schemeClr val="dk1"/>
            </a:effectRef>
            <a:fontRef idx="minor">
              <a:schemeClr val="tx1"/>
            </a:fontRef>
          </xdr:style>
        </xdr:cxnSp>
      </xdr:grpSp>
    </xdr:grpSp>
    <xdr:clientData/>
  </xdr:twoCellAnchor>
  <xdr:twoCellAnchor>
    <xdr:from>
      <xdr:col>2</xdr:col>
      <xdr:colOff>590550</xdr:colOff>
      <xdr:row>96</xdr:row>
      <xdr:rowOff>47625</xdr:rowOff>
    </xdr:from>
    <xdr:to>
      <xdr:col>6</xdr:col>
      <xdr:colOff>76200</xdr:colOff>
      <xdr:row>112</xdr:row>
      <xdr:rowOff>76200</xdr:rowOff>
    </xdr:to>
    <xdr:grpSp>
      <xdr:nvGrpSpPr>
        <xdr:cNvPr id="275738" name="Group 20">
          <a:extLst>
            <a:ext uri="{FF2B5EF4-FFF2-40B4-BE49-F238E27FC236}">
              <a16:creationId xmlns:a16="http://schemas.microsoft.com/office/drawing/2014/main" id="{00000000-0008-0000-0800-00001A350400}"/>
            </a:ext>
          </a:extLst>
        </xdr:cNvPr>
        <xdr:cNvGrpSpPr>
          <a:grpSpLocks/>
        </xdr:cNvGrpSpPr>
      </xdr:nvGrpSpPr>
      <xdr:grpSpPr bwMode="auto">
        <a:xfrm>
          <a:off x="1733550" y="16206995"/>
          <a:ext cx="3386759" cy="2852944"/>
          <a:chOff x="1656525" y="14749255"/>
          <a:chExt cx="3122540" cy="2702199"/>
        </a:xfrm>
      </xdr:grpSpPr>
      <xdr:sp macro="" textlink="">
        <xdr:nvSpPr>
          <xdr:cNvPr id="3" name="Rectangle 2">
            <a:extLst>
              <a:ext uri="{FF2B5EF4-FFF2-40B4-BE49-F238E27FC236}">
                <a16:creationId xmlns:a16="http://schemas.microsoft.com/office/drawing/2014/main" id="{00000000-0008-0000-0800-000003000000}"/>
              </a:ext>
            </a:extLst>
          </xdr:cNvPr>
          <xdr:cNvSpPr/>
        </xdr:nvSpPr>
        <xdr:spPr>
          <a:xfrm>
            <a:off x="1665296" y="14749255"/>
            <a:ext cx="3113769" cy="2693039"/>
          </a:xfrm>
          <a:prstGeom prst="rect">
            <a:avLst/>
          </a:prstGeom>
          <a:noFill/>
          <a:ln w="6350">
            <a:solidFill>
              <a:schemeClr val="tx1"/>
            </a:solidFill>
          </a:ln>
        </xdr:spPr>
        <xdr:style>
          <a:lnRef idx="2">
            <a:schemeClr val="dk1"/>
          </a:lnRef>
          <a:fillRef idx="1">
            <a:schemeClr val="lt1"/>
          </a:fillRef>
          <a:effectRef idx="0">
            <a:schemeClr val="dk1"/>
          </a:effectRef>
          <a:fontRef idx="minor">
            <a:schemeClr val="dk1"/>
          </a:fontRef>
        </xdr:style>
        <xdr:txBody>
          <a:bodyPr rtlCol="0" anchor="ctr"/>
          <a:lstStyle/>
          <a:p>
            <a:endParaRPr lang="en-IN"/>
          </a:p>
        </xdr:txBody>
      </xdr:sp>
      <xdr:sp macro="" textlink="">
        <xdr:nvSpPr>
          <xdr:cNvPr id="4" name="Rectangle 3">
            <a:extLst>
              <a:ext uri="{FF2B5EF4-FFF2-40B4-BE49-F238E27FC236}">
                <a16:creationId xmlns:a16="http://schemas.microsoft.com/office/drawing/2014/main" id="{00000000-0008-0000-0800-000004000000}"/>
              </a:ext>
            </a:extLst>
          </xdr:cNvPr>
          <xdr:cNvSpPr/>
        </xdr:nvSpPr>
        <xdr:spPr>
          <a:xfrm>
            <a:off x="2814321" y="15692735"/>
            <a:ext cx="780635" cy="842720"/>
          </a:xfrm>
          <a:prstGeom prst="rect">
            <a:avLst/>
          </a:prstGeom>
          <a:noFill/>
          <a:ln w="6350">
            <a:solidFill>
              <a:schemeClr val="tx1"/>
            </a:solidFill>
          </a:ln>
        </xdr:spPr>
        <xdr:style>
          <a:lnRef idx="2">
            <a:schemeClr val="dk1"/>
          </a:lnRef>
          <a:fillRef idx="1">
            <a:schemeClr val="lt1"/>
          </a:fillRef>
          <a:effectRef idx="0">
            <a:schemeClr val="dk1"/>
          </a:effectRef>
          <a:fontRef idx="minor">
            <a:schemeClr val="dk1"/>
          </a:fontRef>
        </xdr:style>
        <xdr:txBody>
          <a:bodyPr rtlCol="0" anchor="ctr"/>
          <a:lstStyle/>
          <a:p>
            <a:endParaRPr lang="en-IN"/>
          </a:p>
        </xdr:txBody>
      </xdr:sp>
      <xdr:cxnSp macro="">
        <xdr:nvCxnSpPr>
          <xdr:cNvPr id="6" name="Straight Connector 5">
            <a:extLst>
              <a:ext uri="{FF2B5EF4-FFF2-40B4-BE49-F238E27FC236}">
                <a16:creationId xmlns:a16="http://schemas.microsoft.com/office/drawing/2014/main" id="{00000000-0008-0000-0800-000006000000}"/>
              </a:ext>
            </a:extLst>
          </xdr:cNvPr>
          <xdr:cNvCxnSpPr/>
        </xdr:nvCxnSpPr>
        <xdr:spPr>
          <a:xfrm>
            <a:off x="1665296" y="14758415"/>
            <a:ext cx="1149025" cy="92516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9" name="Straight Connector 8">
            <a:extLst>
              <a:ext uri="{FF2B5EF4-FFF2-40B4-BE49-F238E27FC236}">
                <a16:creationId xmlns:a16="http://schemas.microsoft.com/office/drawing/2014/main" id="{00000000-0008-0000-0800-000009000000}"/>
              </a:ext>
            </a:extLst>
          </xdr:cNvPr>
          <xdr:cNvCxnSpPr/>
        </xdr:nvCxnSpPr>
        <xdr:spPr>
          <a:xfrm rot="10800000" flipV="1">
            <a:off x="1656525" y="16526294"/>
            <a:ext cx="1157796" cy="92516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1" name="Straight Connector 10">
            <a:extLst>
              <a:ext uri="{FF2B5EF4-FFF2-40B4-BE49-F238E27FC236}">
                <a16:creationId xmlns:a16="http://schemas.microsoft.com/office/drawing/2014/main" id="{00000000-0008-0000-0800-00000B000000}"/>
              </a:ext>
            </a:extLst>
          </xdr:cNvPr>
          <xdr:cNvCxnSpPr/>
        </xdr:nvCxnSpPr>
        <xdr:spPr>
          <a:xfrm>
            <a:off x="3577413" y="16517134"/>
            <a:ext cx="1192880" cy="90684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3" name="Straight Connector 12">
            <a:extLst>
              <a:ext uri="{FF2B5EF4-FFF2-40B4-BE49-F238E27FC236}">
                <a16:creationId xmlns:a16="http://schemas.microsoft.com/office/drawing/2014/main" id="{00000000-0008-0000-0800-00000D000000}"/>
              </a:ext>
            </a:extLst>
          </xdr:cNvPr>
          <xdr:cNvCxnSpPr/>
        </xdr:nvCxnSpPr>
        <xdr:spPr>
          <a:xfrm flipV="1">
            <a:off x="3603727" y="14776735"/>
            <a:ext cx="1175338" cy="92516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15" name="Rectangle 14">
            <a:extLst>
              <a:ext uri="{FF2B5EF4-FFF2-40B4-BE49-F238E27FC236}">
                <a16:creationId xmlns:a16="http://schemas.microsoft.com/office/drawing/2014/main" id="{00000000-0008-0000-0800-00000F000000}"/>
              </a:ext>
            </a:extLst>
          </xdr:cNvPr>
          <xdr:cNvSpPr/>
        </xdr:nvSpPr>
        <xdr:spPr>
          <a:xfrm>
            <a:off x="2980973" y="15857615"/>
            <a:ext cx="456101" cy="540440"/>
          </a:xfrm>
          <a:prstGeom prst="rect">
            <a:avLst/>
          </a:prstGeom>
          <a:noFill/>
          <a:ln w="6350">
            <a:solidFill>
              <a:schemeClr val="tx1"/>
            </a:solidFill>
          </a:ln>
        </xdr:spPr>
        <xdr:style>
          <a:lnRef idx="2">
            <a:schemeClr val="dk1"/>
          </a:lnRef>
          <a:fillRef idx="1">
            <a:schemeClr val="lt1"/>
          </a:fillRef>
          <a:effectRef idx="0">
            <a:schemeClr val="dk1"/>
          </a:effectRef>
          <a:fontRef idx="minor">
            <a:schemeClr val="dk1"/>
          </a:fontRef>
        </xdr:style>
        <xdr:txBody>
          <a:bodyPr rtlCol="0" anchor="ctr"/>
          <a:lstStyle/>
          <a:p>
            <a:endParaRPr lang="en-IN"/>
          </a:p>
        </xdr:txBody>
      </xdr:sp>
    </xdr:grpSp>
    <xdr:clientData/>
  </xdr:twoCellAnchor>
  <xdr:twoCellAnchor>
    <xdr:from>
      <xdr:col>2</xdr:col>
      <xdr:colOff>588065</xdr:colOff>
      <xdr:row>95</xdr:row>
      <xdr:rowOff>16565</xdr:rowOff>
    </xdr:from>
    <xdr:to>
      <xdr:col>6</xdr:col>
      <xdr:colOff>66261</xdr:colOff>
      <xdr:row>95</xdr:row>
      <xdr:rowOff>18153</xdr:rowOff>
    </xdr:to>
    <xdr:cxnSp macro="">
      <xdr:nvCxnSpPr>
        <xdr:cNvPr id="23" name="Straight Arrow Connector 22">
          <a:extLst>
            <a:ext uri="{FF2B5EF4-FFF2-40B4-BE49-F238E27FC236}">
              <a16:creationId xmlns:a16="http://schemas.microsoft.com/office/drawing/2014/main" id="{00000000-0008-0000-0800-000017000000}"/>
            </a:ext>
          </a:extLst>
        </xdr:cNvPr>
        <xdr:cNvCxnSpPr/>
      </xdr:nvCxnSpPr>
      <xdr:spPr>
        <a:xfrm>
          <a:off x="1656522" y="15215152"/>
          <a:ext cx="3114261" cy="1588"/>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378101</xdr:colOff>
      <xdr:row>96</xdr:row>
      <xdr:rowOff>88625</xdr:rowOff>
    </xdr:from>
    <xdr:to>
      <xdr:col>2</xdr:col>
      <xdr:colOff>389697</xdr:colOff>
      <xdr:row>112</xdr:row>
      <xdr:rowOff>101877</xdr:rowOff>
    </xdr:to>
    <xdr:cxnSp macro="">
      <xdr:nvCxnSpPr>
        <xdr:cNvPr id="24" name="Straight Arrow Connector 23">
          <a:extLst>
            <a:ext uri="{FF2B5EF4-FFF2-40B4-BE49-F238E27FC236}">
              <a16:creationId xmlns:a16="http://schemas.microsoft.com/office/drawing/2014/main" id="{00000000-0008-0000-0800-000018000000}"/>
            </a:ext>
          </a:extLst>
        </xdr:cNvPr>
        <xdr:cNvCxnSpPr/>
      </xdr:nvCxnSpPr>
      <xdr:spPr>
        <a:xfrm rot="5400000">
          <a:off x="-222802" y="16481978"/>
          <a:ext cx="2604052" cy="11596"/>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619125</xdr:colOff>
      <xdr:row>116</xdr:row>
      <xdr:rowOff>0</xdr:rowOff>
    </xdr:from>
    <xdr:to>
      <xdr:col>6</xdr:col>
      <xdr:colOff>276225</xdr:colOff>
      <xdr:row>126</xdr:row>
      <xdr:rowOff>0</xdr:rowOff>
    </xdr:to>
    <xdr:grpSp>
      <xdr:nvGrpSpPr>
        <xdr:cNvPr id="275741" name="Group 58">
          <a:extLst>
            <a:ext uri="{FF2B5EF4-FFF2-40B4-BE49-F238E27FC236}">
              <a16:creationId xmlns:a16="http://schemas.microsoft.com/office/drawing/2014/main" id="{00000000-0008-0000-0800-00001D350400}"/>
            </a:ext>
          </a:extLst>
        </xdr:cNvPr>
        <xdr:cNvGrpSpPr>
          <a:grpSpLocks/>
        </xdr:cNvGrpSpPr>
      </xdr:nvGrpSpPr>
      <xdr:grpSpPr bwMode="auto">
        <a:xfrm>
          <a:off x="1762125" y="19646348"/>
          <a:ext cx="3558209" cy="1772478"/>
          <a:chOff x="1704560" y="18381326"/>
          <a:chExt cx="3127750" cy="1897102"/>
        </a:xfrm>
      </xdr:grpSpPr>
      <xdr:cxnSp macro="">
        <xdr:nvCxnSpPr>
          <xdr:cNvPr id="37" name="Straight Connector 36">
            <a:extLst>
              <a:ext uri="{FF2B5EF4-FFF2-40B4-BE49-F238E27FC236}">
                <a16:creationId xmlns:a16="http://schemas.microsoft.com/office/drawing/2014/main" id="{00000000-0008-0000-0800-000025000000}"/>
              </a:ext>
            </a:extLst>
          </xdr:cNvPr>
          <xdr:cNvCxnSpPr/>
        </xdr:nvCxnSpPr>
        <xdr:spPr>
          <a:xfrm>
            <a:off x="1704560" y="20278428"/>
            <a:ext cx="3127750"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grpSp>
        <xdr:nvGrpSpPr>
          <xdr:cNvPr id="275772" name="Group 52">
            <a:extLst>
              <a:ext uri="{FF2B5EF4-FFF2-40B4-BE49-F238E27FC236}">
                <a16:creationId xmlns:a16="http://schemas.microsoft.com/office/drawing/2014/main" id="{00000000-0008-0000-0800-00003C350400}"/>
              </a:ext>
            </a:extLst>
          </xdr:cNvPr>
          <xdr:cNvGrpSpPr>
            <a:grpSpLocks/>
          </xdr:cNvGrpSpPr>
        </xdr:nvGrpSpPr>
        <xdr:grpSpPr bwMode="auto">
          <a:xfrm>
            <a:off x="1706372" y="18381326"/>
            <a:ext cx="1379727" cy="1892454"/>
            <a:chOff x="1706372" y="18381326"/>
            <a:chExt cx="1206351" cy="1892454"/>
          </a:xfrm>
        </xdr:grpSpPr>
        <xdr:cxnSp macro="">
          <xdr:nvCxnSpPr>
            <xdr:cNvPr id="39" name="Straight Connector 38">
              <a:extLst>
                <a:ext uri="{FF2B5EF4-FFF2-40B4-BE49-F238E27FC236}">
                  <a16:creationId xmlns:a16="http://schemas.microsoft.com/office/drawing/2014/main" id="{00000000-0008-0000-0800-000027000000}"/>
                </a:ext>
              </a:extLst>
            </xdr:cNvPr>
            <xdr:cNvCxnSpPr/>
          </xdr:nvCxnSpPr>
          <xdr:spPr>
            <a:xfrm rot="5400000" flipH="1" flipV="1">
              <a:off x="1538921" y="20112562"/>
              <a:ext cx="331734"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2" name="Straight Connector 41">
              <a:extLst>
                <a:ext uri="{FF2B5EF4-FFF2-40B4-BE49-F238E27FC236}">
                  <a16:creationId xmlns:a16="http://schemas.microsoft.com/office/drawing/2014/main" id="{00000000-0008-0000-0800-00002A000000}"/>
                </a:ext>
              </a:extLst>
            </xdr:cNvPr>
            <xdr:cNvCxnSpPr/>
          </xdr:nvCxnSpPr>
          <xdr:spPr>
            <a:xfrm flipV="1">
              <a:off x="1704788" y="19272860"/>
              <a:ext cx="1052939" cy="673834"/>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 name="Straight Connector 43">
              <a:extLst>
                <a:ext uri="{FF2B5EF4-FFF2-40B4-BE49-F238E27FC236}">
                  <a16:creationId xmlns:a16="http://schemas.microsoft.com/office/drawing/2014/main" id="{00000000-0008-0000-0800-00002C000000}"/>
                </a:ext>
              </a:extLst>
            </xdr:cNvPr>
            <xdr:cNvCxnSpPr/>
          </xdr:nvCxnSpPr>
          <xdr:spPr>
            <a:xfrm>
              <a:off x="2743103" y="19272860"/>
              <a:ext cx="16086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6" name="Straight Connector 45">
              <a:extLst>
                <a:ext uri="{FF2B5EF4-FFF2-40B4-BE49-F238E27FC236}">
                  <a16:creationId xmlns:a16="http://schemas.microsoft.com/office/drawing/2014/main" id="{00000000-0008-0000-0800-00002E000000}"/>
                </a:ext>
              </a:extLst>
            </xdr:cNvPr>
            <xdr:cNvCxnSpPr/>
          </xdr:nvCxnSpPr>
          <xdr:spPr>
            <a:xfrm rot="5400000" flipH="1" flipV="1">
              <a:off x="2460330" y="18832277"/>
              <a:ext cx="901901"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nvGrpSpPr>
          <xdr:cNvPr id="275773" name="Group 53">
            <a:extLst>
              <a:ext uri="{FF2B5EF4-FFF2-40B4-BE49-F238E27FC236}">
                <a16:creationId xmlns:a16="http://schemas.microsoft.com/office/drawing/2014/main" id="{00000000-0008-0000-0800-00003D350400}"/>
              </a:ext>
            </a:extLst>
          </xdr:cNvPr>
          <xdr:cNvGrpSpPr>
            <a:grpSpLocks/>
          </xdr:cNvGrpSpPr>
        </xdr:nvGrpSpPr>
        <xdr:grpSpPr bwMode="auto">
          <a:xfrm flipH="1">
            <a:off x="3483429" y="18385971"/>
            <a:ext cx="1344385" cy="1892457"/>
            <a:chOff x="1706372" y="18381323"/>
            <a:chExt cx="1206352" cy="1892457"/>
          </a:xfrm>
        </xdr:grpSpPr>
        <xdr:cxnSp macro="">
          <xdr:nvCxnSpPr>
            <xdr:cNvPr id="55" name="Straight Connector 54">
              <a:extLst>
                <a:ext uri="{FF2B5EF4-FFF2-40B4-BE49-F238E27FC236}">
                  <a16:creationId xmlns:a16="http://schemas.microsoft.com/office/drawing/2014/main" id="{00000000-0008-0000-0800-000037000000}"/>
                </a:ext>
              </a:extLst>
            </xdr:cNvPr>
            <xdr:cNvCxnSpPr/>
          </xdr:nvCxnSpPr>
          <xdr:spPr>
            <a:xfrm rot="5400000" flipH="1" flipV="1">
              <a:off x="1561305" y="20102730"/>
              <a:ext cx="342100"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6" name="Straight Connector 55">
              <a:extLst>
                <a:ext uri="{FF2B5EF4-FFF2-40B4-BE49-F238E27FC236}">
                  <a16:creationId xmlns:a16="http://schemas.microsoft.com/office/drawing/2014/main" id="{00000000-0008-0000-0800-000038000000}"/>
                </a:ext>
              </a:extLst>
            </xdr:cNvPr>
            <xdr:cNvCxnSpPr/>
          </xdr:nvCxnSpPr>
          <xdr:spPr>
            <a:xfrm flipV="1">
              <a:off x="1732355" y="19257846"/>
              <a:ext cx="1020586" cy="673834"/>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7" name="Straight Connector 56">
              <a:extLst>
                <a:ext uri="{FF2B5EF4-FFF2-40B4-BE49-F238E27FC236}">
                  <a16:creationId xmlns:a16="http://schemas.microsoft.com/office/drawing/2014/main" id="{00000000-0008-0000-0800-000039000000}"/>
                </a:ext>
              </a:extLst>
            </xdr:cNvPr>
            <xdr:cNvCxnSpPr/>
          </xdr:nvCxnSpPr>
          <xdr:spPr>
            <a:xfrm>
              <a:off x="2737932" y="19257846"/>
              <a:ext cx="165095"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8" name="Straight Connector 57">
              <a:extLst>
                <a:ext uri="{FF2B5EF4-FFF2-40B4-BE49-F238E27FC236}">
                  <a16:creationId xmlns:a16="http://schemas.microsoft.com/office/drawing/2014/main" id="{00000000-0008-0000-0800-00003A000000}"/>
                </a:ext>
              </a:extLst>
            </xdr:cNvPr>
            <xdr:cNvCxnSpPr/>
          </xdr:nvCxnSpPr>
          <xdr:spPr>
            <a:xfrm rot="5400000" flipH="1" flipV="1">
              <a:off x="2459581" y="18827629"/>
              <a:ext cx="901901"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clientData/>
  </xdr:twoCellAnchor>
  <xdr:twoCellAnchor>
    <xdr:from>
      <xdr:col>2</xdr:col>
      <xdr:colOff>516650</xdr:colOff>
      <xdr:row>124</xdr:row>
      <xdr:rowOff>91307</xdr:rowOff>
    </xdr:from>
    <xdr:to>
      <xdr:col>2</xdr:col>
      <xdr:colOff>523218</xdr:colOff>
      <xdr:row>126</xdr:row>
      <xdr:rowOff>22006</xdr:rowOff>
    </xdr:to>
    <xdr:cxnSp macro="">
      <xdr:nvCxnSpPr>
        <xdr:cNvPr id="63" name="Straight Arrow Connector 62">
          <a:extLst>
            <a:ext uri="{FF2B5EF4-FFF2-40B4-BE49-F238E27FC236}">
              <a16:creationId xmlns:a16="http://schemas.microsoft.com/office/drawing/2014/main" id="{00000000-0008-0000-0800-00003F000000}"/>
            </a:ext>
          </a:extLst>
        </xdr:cNvPr>
        <xdr:cNvCxnSpPr/>
      </xdr:nvCxnSpPr>
      <xdr:spPr>
        <a:xfrm rot="16200000" flipH="1">
          <a:off x="1273722" y="20765485"/>
          <a:ext cx="340274" cy="6568"/>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428628</xdr:colOff>
      <xdr:row>121</xdr:row>
      <xdr:rowOff>5728</xdr:rowOff>
    </xdr:from>
    <xdr:to>
      <xdr:col>6</xdr:col>
      <xdr:colOff>438945</xdr:colOff>
      <xdr:row>125</xdr:row>
      <xdr:rowOff>159633</xdr:rowOff>
    </xdr:to>
    <xdr:cxnSp macro="">
      <xdr:nvCxnSpPr>
        <xdr:cNvPr id="65" name="Straight Arrow Connector 64">
          <a:extLst>
            <a:ext uri="{FF2B5EF4-FFF2-40B4-BE49-F238E27FC236}">
              <a16:creationId xmlns:a16="http://schemas.microsoft.com/office/drawing/2014/main" id="{00000000-0008-0000-0800-000041000000}"/>
            </a:ext>
          </a:extLst>
        </xdr:cNvPr>
        <xdr:cNvCxnSpPr/>
      </xdr:nvCxnSpPr>
      <xdr:spPr>
        <a:xfrm rot="5400000">
          <a:off x="4495283" y="20198263"/>
          <a:ext cx="810802" cy="10317"/>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495300</xdr:colOff>
      <xdr:row>115</xdr:row>
      <xdr:rowOff>109538</xdr:rowOff>
    </xdr:from>
    <xdr:to>
      <xdr:col>4</xdr:col>
      <xdr:colOff>542925</xdr:colOff>
      <xdr:row>116</xdr:row>
      <xdr:rowOff>104775</xdr:rowOff>
    </xdr:to>
    <xdr:sp macro="" textlink="">
      <xdr:nvSpPr>
        <xdr:cNvPr id="71" name="Freeform 70">
          <a:extLst>
            <a:ext uri="{FF2B5EF4-FFF2-40B4-BE49-F238E27FC236}">
              <a16:creationId xmlns:a16="http://schemas.microsoft.com/office/drawing/2014/main" id="{00000000-0008-0000-0800-000047000000}"/>
            </a:ext>
          </a:extLst>
        </xdr:cNvPr>
        <xdr:cNvSpPr/>
      </xdr:nvSpPr>
      <xdr:spPr>
        <a:xfrm>
          <a:off x="2933700" y="19283363"/>
          <a:ext cx="838200" cy="157162"/>
        </a:xfrm>
        <a:custGeom>
          <a:avLst/>
          <a:gdLst>
            <a:gd name="connsiteX0" fmla="*/ 0 w 676275"/>
            <a:gd name="connsiteY0" fmla="*/ 128587 h 157162"/>
            <a:gd name="connsiteX1" fmla="*/ 171450 w 676275"/>
            <a:gd name="connsiteY1" fmla="*/ 4762 h 157162"/>
            <a:gd name="connsiteX2" fmla="*/ 419100 w 676275"/>
            <a:gd name="connsiteY2" fmla="*/ 157162 h 157162"/>
            <a:gd name="connsiteX3" fmla="*/ 676275 w 676275"/>
            <a:gd name="connsiteY3" fmla="*/ 4762 h 157162"/>
          </a:gdLst>
          <a:ahLst/>
          <a:cxnLst>
            <a:cxn ang="0">
              <a:pos x="connsiteX0" y="connsiteY0"/>
            </a:cxn>
            <a:cxn ang="0">
              <a:pos x="connsiteX1" y="connsiteY1"/>
            </a:cxn>
            <a:cxn ang="0">
              <a:pos x="connsiteX2" y="connsiteY2"/>
            </a:cxn>
            <a:cxn ang="0">
              <a:pos x="connsiteX3" y="connsiteY3"/>
            </a:cxn>
          </a:cxnLst>
          <a:rect l="l" t="t" r="r" b="b"/>
          <a:pathLst>
            <a:path w="676275" h="157162">
              <a:moveTo>
                <a:pt x="0" y="128587"/>
              </a:moveTo>
              <a:cubicBezTo>
                <a:pt x="50800" y="64293"/>
                <a:pt x="101600" y="0"/>
                <a:pt x="171450" y="4762"/>
              </a:cubicBezTo>
              <a:cubicBezTo>
                <a:pt x="241300" y="9525"/>
                <a:pt x="334963" y="157162"/>
                <a:pt x="419100" y="157162"/>
              </a:cubicBezTo>
              <a:cubicBezTo>
                <a:pt x="503237" y="157162"/>
                <a:pt x="604838" y="12700"/>
                <a:pt x="676275" y="4762"/>
              </a:cubicBezTo>
            </a:path>
          </a:pathLst>
        </a:custGeom>
      </xdr:spPr>
      <xdr:style>
        <a:lnRef idx="1">
          <a:schemeClr val="accent1"/>
        </a:lnRef>
        <a:fillRef idx="0">
          <a:schemeClr val="accent1"/>
        </a:fillRef>
        <a:effectRef idx="0">
          <a:schemeClr val="accent1"/>
        </a:effectRef>
        <a:fontRef idx="minor">
          <a:schemeClr val="tx1"/>
        </a:fontRef>
      </xdr:style>
      <xdr:txBody>
        <a:bodyPr rtlCol="0" anchor="ctr"/>
        <a:lstStyle/>
        <a:p>
          <a:endParaRPr lang="en-US"/>
        </a:p>
      </xdr:txBody>
    </xdr:sp>
    <xdr:clientData/>
  </xdr:twoCellAnchor>
  <xdr:twoCellAnchor>
    <xdr:from>
      <xdr:col>2</xdr:col>
      <xdr:colOff>718456</xdr:colOff>
      <xdr:row>125</xdr:row>
      <xdr:rowOff>19707</xdr:rowOff>
    </xdr:from>
    <xdr:to>
      <xdr:col>2</xdr:col>
      <xdr:colOff>764175</xdr:colOff>
      <xdr:row>125</xdr:row>
      <xdr:rowOff>65426</xdr:rowOff>
    </xdr:to>
    <xdr:sp macro="" textlink="">
      <xdr:nvSpPr>
        <xdr:cNvPr id="81" name="Oval 80">
          <a:extLst>
            <a:ext uri="{FF2B5EF4-FFF2-40B4-BE49-F238E27FC236}">
              <a16:creationId xmlns:a16="http://schemas.microsoft.com/office/drawing/2014/main" id="{00000000-0008-0000-0800-000051000000}"/>
            </a:ext>
          </a:extLst>
        </xdr:cNvPr>
        <xdr:cNvSpPr/>
      </xdr:nvSpPr>
      <xdr:spPr>
        <a:xfrm>
          <a:off x="1414766" y="20468897"/>
          <a:ext cx="45719" cy="45719"/>
        </a:xfrm>
        <a:prstGeom prst="ellipse">
          <a:avLst/>
        </a:prstGeom>
      </xdr:spPr>
      <xdr:style>
        <a:lnRef idx="2">
          <a:schemeClr val="dk1">
            <a:shade val="50000"/>
          </a:schemeClr>
        </a:lnRef>
        <a:fillRef idx="1">
          <a:schemeClr val="dk1"/>
        </a:fillRef>
        <a:effectRef idx="0">
          <a:schemeClr val="dk1"/>
        </a:effectRef>
        <a:fontRef idx="minor">
          <a:schemeClr val="lt1"/>
        </a:fontRef>
      </xdr:style>
      <xdr:txBody>
        <a:bodyPr rtlCol="0" anchor="ctr"/>
        <a:lstStyle/>
        <a:p>
          <a:endParaRPr lang="en-IN"/>
        </a:p>
      </xdr:txBody>
    </xdr:sp>
    <xdr:clientData/>
  </xdr:twoCellAnchor>
  <xdr:twoCellAnchor>
    <xdr:from>
      <xdr:col>3</xdr:col>
      <xdr:colOff>21770</xdr:colOff>
      <xdr:row>125</xdr:row>
      <xdr:rowOff>19707</xdr:rowOff>
    </xdr:from>
    <xdr:to>
      <xdr:col>3</xdr:col>
      <xdr:colOff>67489</xdr:colOff>
      <xdr:row>125</xdr:row>
      <xdr:rowOff>65426</xdr:rowOff>
    </xdr:to>
    <xdr:sp macro="" textlink="">
      <xdr:nvSpPr>
        <xdr:cNvPr id="82" name="Oval 81">
          <a:extLst>
            <a:ext uri="{FF2B5EF4-FFF2-40B4-BE49-F238E27FC236}">
              <a16:creationId xmlns:a16="http://schemas.microsoft.com/office/drawing/2014/main" id="{00000000-0008-0000-0800-000052000000}"/>
            </a:ext>
          </a:extLst>
        </xdr:cNvPr>
        <xdr:cNvSpPr/>
      </xdr:nvSpPr>
      <xdr:spPr>
        <a:xfrm>
          <a:off x="2097563" y="20468897"/>
          <a:ext cx="45719" cy="45719"/>
        </a:xfrm>
        <a:prstGeom prst="ellipse">
          <a:avLst/>
        </a:prstGeom>
      </xdr:spPr>
      <xdr:style>
        <a:lnRef idx="2">
          <a:schemeClr val="dk1">
            <a:shade val="50000"/>
          </a:schemeClr>
        </a:lnRef>
        <a:fillRef idx="1">
          <a:schemeClr val="dk1"/>
        </a:fillRef>
        <a:effectRef idx="0">
          <a:schemeClr val="dk1"/>
        </a:effectRef>
        <a:fontRef idx="minor">
          <a:schemeClr val="lt1"/>
        </a:fontRef>
      </xdr:style>
      <xdr:txBody>
        <a:bodyPr rtlCol="0" anchor="ctr"/>
        <a:lstStyle/>
        <a:p>
          <a:endParaRPr lang="en-IN"/>
        </a:p>
      </xdr:txBody>
    </xdr:sp>
    <xdr:clientData/>
  </xdr:twoCellAnchor>
  <xdr:twoCellAnchor>
    <xdr:from>
      <xdr:col>2</xdr:col>
      <xdr:colOff>1072242</xdr:colOff>
      <xdr:row>125</xdr:row>
      <xdr:rowOff>19707</xdr:rowOff>
    </xdr:from>
    <xdr:to>
      <xdr:col>2</xdr:col>
      <xdr:colOff>1117961</xdr:colOff>
      <xdr:row>125</xdr:row>
      <xdr:rowOff>65426</xdr:rowOff>
    </xdr:to>
    <xdr:sp macro="" textlink="">
      <xdr:nvSpPr>
        <xdr:cNvPr id="83" name="Oval 82">
          <a:extLst>
            <a:ext uri="{FF2B5EF4-FFF2-40B4-BE49-F238E27FC236}">
              <a16:creationId xmlns:a16="http://schemas.microsoft.com/office/drawing/2014/main" id="{00000000-0008-0000-0800-000053000000}"/>
            </a:ext>
          </a:extLst>
        </xdr:cNvPr>
        <xdr:cNvSpPr/>
      </xdr:nvSpPr>
      <xdr:spPr>
        <a:xfrm>
          <a:off x="1768552" y="20468897"/>
          <a:ext cx="45719" cy="45719"/>
        </a:xfrm>
        <a:prstGeom prst="ellipse">
          <a:avLst/>
        </a:prstGeom>
      </xdr:spPr>
      <xdr:style>
        <a:lnRef idx="2">
          <a:schemeClr val="dk1">
            <a:shade val="50000"/>
          </a:schemeClr>
        </a:lnRef>
        <a:fillRef idx="1">
          <a:schemeClr val="dk1"/>
        </a:fillRef>
        <a:effectRef idx="0">
          <a:schemeClr val="dk1"/>
        </a:effectRef>
        <a:fontRef idx="minor">
          <a:schemeClr val="lt1"/>
        </a:fontRef>
      </xdr:style>
      <xdr:txBody>
        <a:bodyPr rtlCol="0" anchor="ctr"/>
        <a:lstStyle/>
        <a:p>
          <a:endParaRPr lang="en-IN"/>
        </a:p>
      </xdr:txBody>
    </xdr:sp>
    <xdr:clientData/>
  </xdr:twoCellAnchor>
  <xdr:twoCellAnchor>
    <xdr:from>
      <xdr:col>5</xdr:col>
      <xdr:colOff>299355</xdr:colOff>
      <xdr:row>125</xdr:row>
      <xdr:rowOff>19707</xdr:rowOff>
    </xdr:from>
    <xdr:to>
      <xdr:col>5</xdr:col>
      <xdr:colOff>345074</xdr:colOff>
      <xdr:row>125</xdr:row>
      <xdr:rowOff>65426</xdr:rowOff>
    </xdr:to>
    <xdr:sp macro="" textlink="">
      <xdr:nvSpPr>
        <xdr:cNvPr id="86" name="Oval 85">
          <a:extLst>
            <a:ext uri="{FF2B5EF4-FFF2-40B4-BE49-F238E27FC236}">
              <a16:creationId xmlns:a16="http://schemas.microsoft.com/office/drawing/2014/main" id="{00000000-0008-0000-0800-000056000000}"/>
            </a:ext>
          </a:extLst>
        </xdr:cNvPr>
        <xdr:cNvSpPr/>
      </xdr:nvSpPr>
      <xdr:spPr>
        <a:xfrm>
          <a:off x="4050234" y="20468897"/>
          <a:ext cx="45719" cy="45719"/>
        </a:xfrm>
        <a:prstGeom prst="ellipse">
          <a:avLst/>
        </a:prstGeom>
      </xdr:spPr>
      <xdr:style>
        <a:lnRef idx="2">
          <a:schemeClr val="dk1">
            <a:shade val="50000"/>
          </a:schemeClr>
        </a:lnRef>
        <a:fillRef idx="1">
          <a:schemeClr val="dk1"/>
        </a:fillRef>
        <a:effectRef idx="0">
          <a:schemeClr val="dk1"/>
        </a:effectRef>
        <a:fontRef idx="minor">
          <a:schemeClr val="lt1"/>
        </a:fontRef>
      </xdr:style>
      <xdr:txBody>
        <a:bodyPr rtlCol="0" anchor="ctr"/>
        <a:lstStyle/>
        <a:p>
          <a:endParaRPr lang="en-IN"/>
        </a:p>
      </xdr:txBody>
    </xdr:sp>
    <xdr:clientData/>
  </xdr:twoCellAnchor>
  <xdr:twoCellAnchor>
    <xdr:from>
      <xdr:col>5</xdr:col>
      <xdr:colOff>653141</xdr:colOff>
      <xdr:row>125</xdr:row>
      <xdr:rowOff>19707</xdr:rowOff>
    </xdr:from>
    <xdr:to>
      <xdr:col>5</xdr:col>
      <xdr:colOff>698860</xdr:colOff>
      <xdr:row>125</xdr:row>
      <xdr:rowOff>65426</xdr:rowOff>
    </xdr:to>
    <xdr:sp macro="" textlink="">
      <xdr:nvSpPr>
        <xdr:cNvPr id="87" name="Oval 86">
          <a:extLst>
            <a:ext uri="{FF2B5EF4-FFF2-40B4-BE49-F238E27FC236}">
              <a16:creationId xmlns:a16="http://schemas.microsoft.com/office/drawing/2014/main" id="{00000000-0008-0000-0800-000057000000}"/>
            </a:ext>
          </a:extLst>
        </xdr:cNvPr>
        <xdr:cNvSpPr/>
      </xdr:nvSpPr>
      <xdr:spPr>
        <a:xfrm>
          <a:off x="4404020" y="20468897"/>
          <a:ext cx="45719" cy="45719"/>
        </a:xfrm>
        <a:prstGeom prst="ellipse">
          <a:avLst/>
        </a:prstGeom>
      </xdr:spPr>
      <xdr:style>
        <a:lnRef idx="2">
          <a:schemeClr val="dk1">
            <a:shade val="50000"/>
          </a:schemeClr>
        </a:lnRef>
        <a:fillRef idx="1">
          <a:schemeClr val="dk1"/>
        </a:fillRef>
        <a:effectRef idx="0">
          <a:schemeClr val="dk1"/>
        </a:effectRef>
        <a:fontRef idx="minor">
          <a:schemeClr val="lt1"/>
        </a:fontRef>
      </xdr:style>
      <xdr:txBody>
        <a:bodyPr rtlCol="0" anchor="ctr"/>
        <a:lstStyle/>
        <a:p>
          <a:endParaRPr lang="en-IN"/>
        </a:p>
      </xdr:txBody>
    </xdr:sp>
    <xdr:clientData/>
  </xdr:twoCellAnchor>
  <xdr:twoCellAnchor>
    <xdr:from>
      <xdr:col>3</xdr:col>
      <xdr:colOff>180975</xdr:colOff>
      <xdr:row>116</xdr:row>
      <xdr:rowOff>95250</xdr:rowOff>
    </xdr:from>
    <xdr:to>
      <xdr:col>4</xdr:col>
      <xdr:colOff>9525</xdr:colOff>
      <xdr:row>125</xdr:row>
      <xdr:rowOff>38100</xdr:rowOff>
    </xdr:to>
    <xdr:grpSp>
      <xdr:nvGrpSpPr>
        <xdr:cNvPr id="275750" name="Group 96">
          <a:extLst>
            <a:ext uri="{FF2B5EF4-FFF2-40B4-BE49-F238E27FC236}">
              <a16:creationId xmlns:a16="http://schemas.microsoft.com/office/drawing/2014/main" id="{00000000-0008-0000-0800-000026350400}"/>
            </a:ext>
          </a:extLst>
        </xdr:cNvPr>
        <xdr:cNvGrpSpPr>
          <a:grpSpLocks/>
        </xdr:cNvGrpSpPr>
      </xdr:nvGrpSpPr>
      <xdr:grpSpPr bwMode="auto">
        <a:xfrm>
          <a:off x="2773432" y="19741598"/>
          <a:ext cx="615397" cy="1549676"/>
          <a:chOff x="2707648" y="17561072"/>
          <a:chExt cx="556793" cy="1400072"/>
        </a:xfrm>
      </xdr:grpSpPr>
      <xdr:cxnSp macro="">
        <xdr:nvCxnSpPr>
          <xdr:cNvPr id="92" name="Straight Connector 91">
            <a:extLst>
              <a:ext uri="{FF2B5EF4-FFF2-40B4-BE49-F238E27FC236}">
                <a16:creationId xmlns:a16="http://schemas.microsoft.com/office/drawing/2014/main" id="{00000000-0008-0000-0800-00005C000000}"/>
              </a:ext>
            </a:extLst>
          </xdr:cNvPr>
          <xdr:cNvCxnSpPr/>
        </xdr:nvCxnSpPr>
        <xdr:spPr>
          <a:xfrm rot="5400000">
            <a:off x="2564405" y="18261108"/>
            <a:ext cx="1400072" cy="0"/>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94" name="Straight Connector 93">
            <a:extLst>
              <a:ext uri="{FF2B5EF4-FFF2-40B4-BE49-F238E27FC236}">
                <a16:creationId xmlns:a16="http://schemas.microsoft.com/office/drawing/2014/main" id="{00000000-0008-0000-0800-00005E000000}"/>
              </a:ext>
            </a:extLst>
          </xdr:cNvPr>
          <xdr:cNvCxnSpPr/>
        </xdr:nvCxnSpPr>
        <xdr:spPr>
          <a:xfrm rot="10800000">
            <a:off x="2707648" y="18961144"/>
            <a:ext cx="556793" cy="0"/>
          </a:xfrm>
          <a:prstGeom prst="line">
            <a:avLst/>
          </a:prstGeom>
        </xdr:spPr>
        <xdr:style>
          <a:lnRef idx="1">
            <a:schemeClr val="dk1"/>
          </a:lnRef>
          <a:fillRef idx="0">
            <a:schemeClr val="dk1"/>
          </a:fillRef>
          <a:effectRef idx="0">
            <a:schemeClr val="dk1"/>
          </a:effectRef>
          <a:fontRef idx="minor">
            <a:schemeClr val="tx1"/>
          </a:fontRef>
        </xdr:style>
      </xdr:cxnSp>
    </xdr:grpSp>
    <xdr:clientData/>
  </xdr:twoCellAnchor>
  <xdr:twoCellAnchor>
    <xdr:from>
      <xdr:col>4</xdr:col>
      <xdr:colOff>323850</xdr:colOff>
      <xdr:row>116</xdr:row>
      <xdr:rowOff>95250</xdr:rowOff>
    </xdr:from>
    <xdr:to>
      <xdr:col>4</xdr:col>
      <xdr:colOff>809625</xdr:colOff>
      <xdr:row>125</xdr:row>
      <xdr:rowOff>38100</xdr:rowOff>
    </xdr:to>
    <xdr:grpSp>
      <xdr:nvGrpSpPr>
        <xdr:cNvPr id="275751" name="Group 97">
          <a:extLst>
            <a:ext uri="{FF2B5EF4-FFF2-40B4-BE49-F238E27FC236}">
              <a16:creationId xmlns:a16="http://schemas.microsoft.com/office/drawing/2014/main" id="{00000000-0008-0000-0800-000027350400}"/>
            </a:ext>
          </a:extLst>
        </xdr:cNvPr>
        <xdr:cNvGrpSpPr>
          <a:grpSpLocks/>
        </xdr:cNvGrpSpPr>
      </xdr:nvGrpSpPr>
      <xdr:grpSpPr bwMode="auto">
        <a:xfrm flipH="1">
          <a:off x="3703154" y="19741598"/>
          <a:ext cx="485775" cy="1549676"/>
          <a:chOff x="2707648" y="17561072"/>
          <a:chExt cx="556793" cy="1400072"/>
        </a:xfrm>
      </xdr:grpSpPr>
      <xdr:cxnSp macro="">
        <xdr:nvCxnSpPr>
          <xdr:cNvPr id="99" name="Straight Connector 98">
            <a:extLst>
              <a:ext uri="{FF2B5EF4-FFF2-40B4-BE49-F238E27FC236}">
                <a16:creationId xmlns:a16="http://schemas.microsoft.com/office/drawing/2014/main" id="{00000000-0008-0000-0800-000063000000}"/>
              </a:ext>
            </a:extLst>
          </xdr:cNvPr>
          <xdr:cNvCxnSpPr/>
        </xdr:nvCxnSpPr>
        <xdr:spPr>
          <a:xfrm rot="5400000">
            <a:off x="2564405" y="18261108"/>
            <a:ext cx="1400072" cy="0"/>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100" name="Straight Connector 99">
            <a:extLst>
              <a:ext uri="{FF2B5EF4-FFF2-40B4-BE49-F238E27FC236}">
                <a16:creationId xmlns:a16="http://schemas.microsoft.com/office/drawing/2014/main" id="{00000000-0008-0000-0800-000064000000}"/>
              </a:ext>
            </a:extLst>
          </xdr:cNvPr>
          <xdr:cNvCxnSpPr/>
        </xdr:nvCxnSpPr>
        <xdr:spPr>
          <a:xfrm rot="10800000">
            <a:off x="2707648" y="18961144"/>
            <a:ext cx="556793" cy="0"/>
          </a:xfrm>
          <a:prstGeom prst="line">
            <a:avLst/>
          </a:prstGeom>
        </xdr:spPr>
        <xdr:style>
          <a:lnRef idx="1">
            <a:schemeClr val="dk1"/>
          </a:lnRef>
          <a:fillRef idx="0">
            <a:schemeClr val="dk1"/>
          </a:fillRef>
          <a:effectRef idx="0">
            <a:schemeClr val="dk1"/>
          </a:effectRef>
          <a:fontRef idx="minor">
            <a:schemeClr val="tx1"/>
          </a:fontRef>
        </xdr:style>
      </xdr:cxnSp>
    </xdr:grpSp>
    <xdr:clientData/>
  </xdr:twoCellAnchor>
  <xdr:twoCellAnchor>
    <xdr:from>
      <xdr:col>4</xdr:col>
      <xdr:colOff>12159</xdr:colOff>
      <xdr:row>118</xdr:row>
      <xdr:rowOff>117542</xdr:rowOff>
    </xdr:from>
    <xdr:to>
      <xdr:col>4</xdr:col>
      <xdr:colOff>316149</xdr:colOff>
      <xdr:row>118</xdr:row>
      <xdr:rowOff>119130</xdr:rowOff>
    </xdr:to>
    <xdr:cxnSp macro="">
      <xdr:nvCxnSpPr>
        <xdr:cNvPr id="105" name="Straight Connector 104">
          <a:extLst>
            <a:ext uri="{FF2B5EF4-FFF2-40B4-BE49-F238E27FC236}">
              <a16:creationId xmlns:a16="http://schemas.microsoft.com/office/drawing/2014/main" id="{00000000-0008-0000-0800-000069000000}"/>
            </a:ext>
          </a:extLst>
        </xdr:cNvPr>
        <xdr:cNvCxnSpPr/>
      </xdr:nvCxnSpPr>
      <xdr:spPr>
        <a:xfrm>
          <a:off x="3226340" y="17931319"/>
          <a:ext cx="303990" cy="158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6485</xdr:colOff>
      <xdr:row>119</xdr:row>
      <xdr:rowOff>111868</xdr:rowOff>
    </xdr:from>
    <xdr:to>
      <xdr:col>4</xdr:col>
      <xdr:colOff>310475</xdr:colOff>
      <xdr:row>119</xdr:row>
      <xdr:rowOff>113456</xdr:rowOff>
    </xdr:to>
    <xdr:cxnSp macro="">
      <xdr:nvCxnSpPr>
        <xdr:cNvPr id="106" name="Straight Connector 105">
          <a:extLst>
            <a:ext uri="{FF2B5EF4-FFF2-40B4-BE49-F238E27FC236}">
              <a16:creationId xmlns:a16="http://schemas.microsoft.com/office/drawing/2014/main" id="{00000000-0008-0000-0800-00006A000000}"/>
            </a:ext>
          </a:extLst>
        </xdr:cNvPr>
        <xdr:cNvCxnSpPr/>
      </xdr:nvCxnSpPr>
      <xdr:spPr>
        <a:xfrm>
          <a:off x="3220666" y="18087772"/>
          <a:ext cx="303990" cy="158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12969</xdr:colOff>
      <xdr:row>120</xdr:row>
      <xdr:rowOff>98087</xdr:rowOff>
    </xdr:from>
    <xdr:to>
      <xdr:col>4</xdr:col>
      <xdr:colOff>316959</xdr:colOff>
      <xdr:row>120</xdr:row>
      <xdr:rowOff>99675</xdr:rowOff>
    </xdr:to>
    <xdr:cxnSp macro="">
      <xdr:nvCxnSpPr>
        <xdr:cNvPr id="107" name="Straight Connector 106">
          <a:extLst>
            <a:ext uri="{FF2B5EF4-FFF2-40B4-BE49-F238E27FC236}">
              <a16:creationId xmlns:a16="http://schemas.microsoft.com/office/drawing/2014/main" id="{00000000-0008-0000-0800-00006B000000}"/>
            </a:ext>
          </a:extLst>
        </xdr:cNvPr>
        <xdr:cNvCxnSpPr/>
      </xdr:nvCxnSpPr>
      <xdr:spPr>
        <a:xfrm>
          <a:off x="3227150" y="18236119"/>
          <a:ext cx="303990" cy="158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15402</xdr:colOff>
      <xdr:row>117</xdr:row>
      <xdr:rowOff>88359</xdr:rowOff>
    </xdr:from>
    <xdr:to>
      <xdr:col>4</xdr:col>
      <xdr:colOff>319392</xdr:colOff>
      <xdr:row>117</xdr:row>
      <xdr:rowOff>89947</xdr:rowOff>
    </xdr:to>
    <xdr:cxnSp macro="">
      <xdr:nvCxnSpPr>
        <xdr:cNvPr id="108" name="Straight Connector 107">
          <a:extLst>
            <a:ext uri="{FF2B5EF4-FFF2-40B4-BE49-F238E27FC236}">
              <a16:creationId xmlns:a16="http://schemas.microsoft.com/office/drawing/2014/main" id="{00000000-0008-0000-0800-00006C000000}"/>
            </a:ext>
          </a:extLst>
        </xdr:cNvPr>
        <xdr:cNvCxnSpPr/>
      </xdr:nvCxnSpPr>
      <xdr:spPr>
        <a:xfrm>
          <a:off x="3229583" y="17740008"/>
          <a:ext cx="303990" cy="158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1012371</xdr:colOff>
      <xdr:row>124</xdr:row>
      <xdr:rowOff>119743</xdr:rowOff>
    </xdr:from>
    <xdr:to>
      <xdr:col>2</xdr:col>
      <xdr:colOff>1175657</xdr:colOff>
      <xdr:row>125</xdr:row>
      <xdr:rowOff>102852</xdr:rowOff>
    </xdr:to>
    <xdr:sp macro="" textlink="">
      <xdr:nvSpPr>
        <xdr:cNvPr id="109" name="Oval 108">
          <a:extLst>
            <a:ext uri="{FF2B5EF4-FFF2-40B4-BE49-F238E27FC236}">
              <a16:creationId xmlns:a16="http://schemas.microsoft.com/office/drawing/2014/main" id="{00000000-0008-0000-0800-00006D000000}"/>
            </a:ext>
          </a:extLst>
        </xdr:cNvPr>
        <xdr:cNvSpPr/>
      </xdr:nvSpPr>
      <xdr:spPr>
        <a:xfrm>
          <a:off x="1709057" y="20421600"/>
          <a:ext cx="163286" cy="146395"/>
        </a:xfrm>
        <a:prstGeom prst="ellipse">
          <a:avLst/>
        </a:prstGeom>
        <a:noFill/>
        <a:ln w="3175">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rtlCol="0" anchor="ctr"/>
        <a:lstStyle/>
        <a:p>
          <a:endParaRPr lang="en-IN"/>
        </a:p>
      </xdr:txBody>
    </xdr:sp>
    <xdr:clientData/>
  </xdr:twoCellAnchor>
  <xdr:twoCellAnchor>
    <xdr:from>
      <xdr:col>4</xdr:col>
      <xdr:colOff>522513</xdr:colOff>
      <xdr:row>125</xdr:row>
      <xdr:rowOff>19707</xdr:rowOff>
    </xdr:from>
    <xdr:to>
      <xdr:col>4</xdr:col>
      <xdr:colOff>568232</xdr:colOff>
      <xdr:row>125</xdr:row>
      <xdr:rowOff>65426</xdr:rowOff>
    </xdr:to>
    <xdr:sp macro="" textlink="">
      <xdr:nvSpPr>
        <xdr:cNvPr id="61" name="Oval 60">
          <a:extLst>
            <a:ext uri="{FF2B5EF4-FFF2-40B4-BE49-F238E27FC236}">
              <a16:creationId xmlns:a16="http://schemas.microsoft.com/office/drawing/2014/main" id="{00000000-0008-0000-0800-00003D000000}"/>
            </a:ext>
          </a:extLst>
        </xdr:cNvPr>
        <xdr:cNvSpPr/>
      </xdr:nvSpPr>
      <xdr:spPr>
        <a:xfrm>
          <a:off x="3320892" y="20468897"/>
          <a:ext cx="45719" cy="45719"/>
        </a:xfrm>
        <a:prstGeom prst="ellipse">
          <a:avLst/>
        </a:prstGeom>
      </xdr:spPr>
      <xdr:style>
        <a:lnRef idx="2">
          <a:schemeClr val="dk1">
            <a:shade val="50000"/>
          </a:schemeClr>
        </a:lnRef>
        <a:fillRef idx="1">
          <a:schemeClr val="dk1"/>
        </a:fillRef>
        <a:effectRef idx="0">
          <a:schemeClr val="dk1"/>
        </a:effectRef>
        <a:fontRef idx="minor">
          <a:schemeClr val="lt1"/>
        </a:fontRef>
      </xdr:style>
      <xdr:txBody>
        <a:bodyPr rtlCol="0" anchor="ctr"/>
        <a:lstStyle/>
        <a:p>
          <a:endParaRPr lang="en-IN"/>
        </a:p>
      </xdr:txBody>
    </xdr:sp>
    <xdr:clientData/>
  </xdr:twoCellAnchor>
  <xdr:twoCellAnchor>
    <xdr:from>
      <xdr:col>4</xdr:col>
      <xdr:colOff>898071</xdr:colOff>
      <xdr:row>125</xdr:row>
      <xdr:rowOff>19707</xdr:rowOff>
    </xdr:from>
    <xdr:to>
      <xdr:col>4</xdr:col>
      <xdr:colOff>943790</xdr:colOff>
      <xdr:row>125</xdr:row>
      <xdr:rowOff>65426</xdr:rowOff>
    </xdr:to>
    <xdr:sp macro="" textlink="">
      <xdr:nvSpPr>
        <xdr:cNvPr id="62" name="Oval 61">
          <a:extLst>
            <a:ext uri="{FF2B5EF4-FFF2-40B4-BE49-F238E27FC236}">
              <a16:creationId xmlns:a16="http://schemas.microsoft.com/office/drawing/2014/main" id="{00000000-0008-0000-0800-00003E000000}"/>
            </a:ext>
          </a:extLst>
        </xdr:cNvPr>
        <xdr:cNvSpPr/>
      </xdr:nvSpPr>
      <xdr:spPr>
        <a:xfrm>
          <a:off x="3696450" y="20468897"/>
          <a:ext cx="45719" cy="45719"/>
        </a:xfrm>
        <a:prstGeom prst="ellipse">
          <a:avLst/>
        </a:prstGeom>
      </xdr:spPr>
      <xdr:style>
        <a:lnRef idx="2">
          <a:schemeClr val="dk1">
            <a:shade val="50000"/>
          </a:schemeClr>
        </a:lnRef>
        <a:fillRef idx="1">
          <a:schemeClr val="dk1"/>
        </a:fillRef>
        <a:effectRef idx="0">
          <a:schemeClr val="dk1"/>
        </a:effectRef>
        <a:fontRef idx="minor">
          <a:schemeClr val="lt1"/>
        </a:fontRef>
      </xdr:style>
      <xdr:txBody>
        <a:bodyPr rtlCol="0" anchor="ctr"/>
        <a:lstStyle/>
        <a:p>
          <a:endParaRPr lang="en-IN"/>
        </a:p>
      </xdr:txBody>
    </xdr:sp>
    <xdr:clientData/>
  </xdr:twoCellAnchor>
  <xdr:twoCellAnchor>
    <xdr:from>
      <xdr:col>3</xdr:col>
      <xdr:colOff>380811</xdr:colOff>
      <xdr:row>125</xdr:row>
      <xdr:rowOff>13747</xdr:rowOff>
    </xdr:from>
    <xdr:to>
      <xdr:col>3</xdr:col>
      <xdr:colOff>426530</xdr:colOff>
      <xdr:row>125</xdr:row>
      <xdr:rowOff>59795</xdr:rowOff>
    </xdr:to>
    <xdr:sp macro="" textlink="">
      <xdr:nvSpPr>
        <xdr:cNvPr id="72" name="Oval 71">
          <a:extLst>
            <a:ext uri="{FF2B5EF4-FFF2-40B4-BE49-F238E27FC236}">
              <a16:creationId xmlns:a16="http://schemas.microsoft.com/office/drawing/2014/main" id="{00000000-0008-0000-0800-000048000000}"/>
            </a:ext>
          </a:extLst>
        </xdr:cNvPr>
        <xdr:cNvSpPr/>
      </xdr:nvSpPr>
      <xdr:spPr>
        <a:xfrm>
          <a:off x="2456604" y="20462937"/>
          <a:ext cx="45719" cy="46048"/>
        </a:xfrm>
        <a:prstGeom prst="ellipse">
          <a:avLst/>
        </a:prstGeom>
      </xdr:spPr>
      <xdr:style>
        <a:lnRef idx="2">
          <a:schemeClr val="dk1">
            <a:shade val="50000"/>
          </a:schemeClr>
        </a:lnRef>
        <a:fillRef idx="1">
          <a:schemeClr val="dk1"/>
        </a:fillRef>
        <a:effectRef idx="0">
          <a:schemeClr val="dk1"/>
        </a:effectRef>
        <a:fontRef idx="minor">
          <a:schemeClr val="lt1"/>
        </a:fontRef>
      </xdr:style>
      <xdr:txBody>
        <a:bodyPr rtlCol="0" anchor="ctr"/>
        <a:lstStyle/>
        <a:p>
          <a:endParaRPr lang="en-IN"/>
        </a:p>
      </xdr:txBody>
    </xdr:sp>
    <xdr:clientData/>
  </xdr:twoCellAnchor>
  <xdr:twoCellAnchor>
    <xdr:from>
      <xdr:col>4</xdr:col>
      <xdr:colOff>112798</xdr:colOff>
      <xdr:row>125</xdr:row>
      <xdr:rowOff>15061</xdr:rowOff>
    </xdr:from>
    <xdr:to>
      <xdr:col>4</xdr:col>
      <xdr:colOff>158517</xdr:colOff>
      <xdr:row>125</xdr:row>
      <xdr:rowOff>61109</xdr:rowOff>
    </xdr:to>
    <xdr:sp macro="" textlink="">
      <xdr:nvSpPr>
        <xdr:cNvPr id="73" name="Oval 72">
          <a:extLst>
            <a:ext uri="{FF2B5EF4-FFF2-40B4-BE49-F238E27FC236}">
              <a16:creationId xmlns:a16="http://schemas.microsoft.com/office/drawing/2014/main" id="{00000000-0008-0000-0800-000049000000}"/>
            </a:ext>
          </a:extLst>
        </xdr:cNvPr>
        <xdr:cNvSpPr/>
      </xdr:nvSpPr>
      <xdr:spPr>
        <a:xfrm>
          <a:off x="2911177" y="20464251"/>
          <a:ext cx="45719" cy="46048"/>
        </a:xfrm>
        <a:prstGeom prst="ellipse">
          <a:avLst/>
        </a:prstGeom>
      </xdr:spPr>
      <xdr:style>
        <a:lnRef idx="2">
          <a:schemeClr val="dk1">
            <a:shade val="50000"/>
          </a:schemeClr>
        </a:lnRef>
        <a:fillRef idx="1">
          <a:schemeClr val="dk1"/>
        </a:fillRef>
        <a:effectRef idx="0">
          <a:schemeClr val="dk1"/>
        </a:effectRef>
        <a:fontRef idx="minor">
          <a:schemeClr val="lt1"/>
        </a:fontRef>
      </xdr:style>
      <xdr:txBody>
        <a:bodyPr rtlCol="0" anchor="ctr"/>
        <a:lstStyle/>
        <a:p>
          <a:endParaRPr lang="en-IN"/>
        </a:p>
      </xdr:txBody>
    </xdr:sp>
    <xdr:clientData/>
  </xdr:twoCellAnchor>
  <xdr:twoCellAnchor>
    <xdr:from>
      <xdr:col>5</xdr:col>
      <xdr:colOff>438150</xdr:colOff>
      <xdr:row>124</xdr:row>
      <xdr:rowOff>219075</xdr:rowOff>
    </xdr:from>
    <xdr:to>
      <xdr:col>6</xdr:col>
      <xdr:colOff>47625</xdr:colOff>
      <xdr:row>128</xdr:row>
      <xdr:rowOff>95250</xdr:rowOff>
    </xdr:to>
    <xdr:grpSp>
      <xdr:nvGrpSpPr>
        <xdr:cNvPr id="275761" name="Group 87">
          <a:extLst>
            <a:ext uri="{FF2B5EF4-FFF2-40B4-BE49-F238E27FC236}">
              <a16:creationId xmlns:a16="http://schemas.microsoft.com/office/drawing/2014/main" id="{00000000-0008-0000-0800-000031350400}"/>
            </a:ext>
          </a:extLst>
        </xdr:cNvPr>
        <xdr:cNvGrpSpPr>
          <a:grpSpLocks/>
        </xdr:cNvGrpSpPr>
      </xdr:nvGrpSpPr>
      <xdr:grpSpPr bwMode="auto">
        <a:xfrm>
          <a:off x="4769954" y="21223771"/>
          <a:ext cx="321780" cy="621609"/>
          <a:chOff x="4184430" y="20869603"/>
          <a:chExt cx="328449" cy="610914"/>
        </a:xfrm>
      </xdr:grpSpPr>
      <xdr:cxnSp macro="">
        <xdr:nvCxnSpPr>
          <xdr:cNvPr id="75" name="Straight Connector 74">
            <a:extLst>
              <a:ext uri="{FF2B5EF4-FFF2-40B4-BE49-F238E27FC236}">
                <a16:creationId xmlns:a16="http://schemas.microsoft.com/office/drawing/2014/main" id="{00000000-0008-0000-0800-00004B000000}"/>
              </a:ext>
            </a:extLst>
          </xdr:cNvPr>
          <xdr:cNvCxnSpPr/>
        </xdr:nvCxnSpPr>
        <xdr:spPr>
          <a:xfrm rot="16200000" flipH="1">
            <a:off x="3883804" y="21170229"/>
            <a:ext cx="610914" cy="9660"/>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79" name="Straight Arrow Connector 78">
            <a:extLst>
              <a:ext uri="{FF2B5EF4-FFF2-40B4-BE49-F238E27FC236}">
                <a16:creationId xmlns:a16="http://schemas.microsoft.com/office/drawing/2014/main" id="{00000000-0008-0000-0800-00004F000000}"/>
              </a:ext>
            </a:extLst>
          </xdr:cNvPr>
          <xdr:cNvCxnSpPr/>
        </xdr:nvCxnSpPr>
        <xdr:spPr>
          <a:xfrm>
            <a:off x="4194090" y="21470971"/>
            <a:ext cx="318789"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grpSp>
    <xdr:clientData/>
  </xdr:twoCellAnchor>
  <xdr:twoCellAnchor>
    <xdr:from>
      <xdr:col>2</xdr:col>
      <xdr:colOff>1095375</xdr:colOff>
      <xdr:row>125</xdr:row>
      <xdr:rowOff>95250</xdr:rowOff>
    </xdr:from>
    <xdr:to>
      <xdr:col>3</xdr:col>
      <xdr:colOff>104775</xdr:colOff>
      <xdr:row>128</xdr:row>
      <xdr:rowOff>76200</xdr:rowOff>
    </xdr:to>
    <xdr:grpSp>
      <xdr:nvGrpSpPr>
        <xdr:cNvPr id="275762" name="Group 90">
          <a:extLst>
            <a:ext uri="{FF2B5EF4-FFF2-40B4-BE49-F238E27FC236}">
              <a16:creationId xmlns:a16="http://schemas.microsoft.com/office/drawing/2014/main" id="{00000000-0008-0000-0800-000032350400}"/>
            </a:ext>
          </a:extLst>
        </xdr:cNvPr>
        <xdr:cNvGrpSpPr>
          <a:grpSpLocks/>
        </xdr:cNvGrpSpPr>
      </xdr:nvGrpSpPr>
      <xdr:grpSpPr bwMode="auto">
        <a:xfrm>
          <a:off x="2238375" y="21348424"/>
          <a:ext cx="458857" cy="477906"/>
          <a:chOff x="4184430" y="20869603"/>
          <a:chExt cx="328449" cy="610914"/>
        </a:xfrm>
      </xdr:grpSpPr>
      <xdr:cxnSp macro="">
        <xdr:nvCxnSpPr>
          <xdr:cNvPr id="93" name="Straight Connector 92">
            <a:extLst>
              <a:ext uri="{FF2B5EF4-FFF2-40B4-BE49-F238E27FC236}">
                <a16:creationId xmlns:a16="http://schemas.microsoft.com/office/drawing/2014/main" id="{00000000-0008-0000-0800-00005D000000}"/>
              </a:ext>
            </a:extLst>
          </xdr:cNvPr>
          <xdr:cNvCxnSpPr/>
        </xdr:nvCxnSpPr>
        <xdr:spPr>
          <a:xfrm rot="16200000" flipH="1">
            <a:off x="3882394" y="21171639"/>
            <a:ext cx="610914" cy="6843"/>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95" name="Straight Arrow Connector 94">
            <a:extLst>
              <a:ext uri="{FF2B5EF4-FFF2-40B4-BE49-F238E27FC236}">
                <a16:creationId xmlns:a16="http://schemas.microsoft.com/office/drawing/2014/main" id="{00000000-0008-0000-0800-00005F000000}"/>
              </a:ext>
            </a:extLst>
          </xdr:cNvPr>
          <xdr:cNvCxnSpPr/>
        </xdr:nvCxnSpPr>
        <xdr:spPr>
          <a:xfrm>
            <a:off x="4191273" y="21468049"/>
            <a:ext cx="321606"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979714</xdr:colOff>
      <xdr:row>52</xdr:row>
      <xdr:rowOff>112940</xdr:rowOff>
    </xdr:from>
    <xdr:to>
      <xdr:col>8</xdr:col>
      <xdr:colOff>817789</xdr:colOff>
      <xdr:row>63</xdr:row>
      <xdr:rowOff>95250</xdr:rowOff>
    </xdr:to>
    <xdr:grpSp>
      <xdr:nvGrpSpPr>
        <xdr:cNvPr id="23" name="Group 22">
          <a:extLst>
            <a:ext uri="{FF2B5EF4-FFF2-40B4-BE49-F238E27FC236}">
              <a16:creationId xmlns:a16="http://schemas.microsoft.com/office/drawing/2014/main" id="{00000000-0008-0000-0900-000017000000}"/>
            </a:ext>
          </a:extLst>
        </xdr:cNvPr>
        <xdr:cNvGrpSpPr/>
      </xdr:nvGrpSpPr>
      <xdr:grpSpPr>
        <a:xfrm>
          <a:off x="1592035" y="10604047"/>
          <a:ext cx="6015718" cy="1860096"/>
          <a:chOff x="1592035" y="10604047"/>
          <a:chExt cx="6015718" cy="1860096"/>
        </a:xfrm>
      </xdr:grpSpPr>
      <xdr:grpSp>
        <xdr:nvGrpSpPr>
          <xdr:cNvPr id="13" name="Group 12">
            <a:extLst>
              <a:ext uri="{FF2B5EF4-FFF2-40B4-BE49-F238E27FC236}">
                <a16:creationId xmlns:a16="http://schemas.microsoft.com/office/drawing/2014/main" id="{00000000-0008-0000-0900-00000D000000}"/>
              </a:ext>
            </a:extLst>
          </xdr:cNvPr>
          <xdr:cNvGrpSpPr/>
        </xdr:nvGrpSpPr>
        <xdr:grpSpPr>
          <a:xfrm>
            <a:off x="1592035" y="10604047"/>
            <a:ext cx="6015718" cy="1860096"/>
            <a:chOff x="1074964" y="12141654"/>
            <a:chExt cx="6015718" cy="1860096"/>
          </a:xfrm>
        </xdr:grpSpPr>
        <xdr:sp macro="" textlink="">
          <xdr:nvSpPr>
            <xdr:cNvPr id="2" name="Rectangle 1">
              <a:extLst>
                <a:ext uri="{FF2B5EF4-FFF2-40B4-BE49-F238E27FC236}">
                  <a16:creationId xmlns:a16="http://schemas.microsoft.com/office/drawing/2014/main" id="{00000000-0008-0000-0900-000002000000}"/>
                </a:ext>
              </a:extLst>
            </xdr:cNvPr>
            <xdr:cNvSpPr/>
          </xdr:nvSpPr>
          <xdr:spPr>
            <a:xfrm>
              <a:off x="1345746" y="12183836"/>
              <a:ext cx="1947183" cy="1623332"/>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rtlCol="0" anchor="ctr"/>
            <a:lstStyle/>
            <a:p>
              <a:endParaRPr lang="en-US"/>
            </a:p>
          </xdr:txBody>
        </xdr:sp>
        <xdr:sp macro="" textlink="">
          <xdr:nvSpPr>
            <xdr:cNvPr id="3" name="Rectangle 2">
              <a:extLst>
                <a:ext uri="{FF2B5EF4-FFF2-40B4-BE49-F238E27FC236}">
                  <a16:creationId xmlns:a16="http://schemas.microsoft.com/office/drawing/2014/main" id="{00000000-0008-0000-0900-000003000000}"/>
                </a:ext>
              </a:extLst>
            </xdr:cNvPr>
            <xdr:cNvSpPr/>
          </xdr:nvSpPr>
          <xdr:spPr>
            <a:xfrm>
              <a:off x="5697311" y="12141654"/>
              <a:ext cx="1359353" cy="1585232"/>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rtlCol="0" anchor="ctr"/>
            <a:lstStyle/>
            <a:p>
              <a:endParaRPr lang="en-US"/>
            </a:p>
          </xdr:txBody>
        </xdr:sp>
        <xdr:sp macro="" textlink="">
          <xdr:nvSpPr>
            <xdr:cNvPr id="4" name="Rectangle 3">
              <a:extLst>
                <a:ext uri="{FF2B5EF4-FFF2-40B4-BE49-F238E27FC236}">
                  <a16:creationId xmlns:a16="http://schemas.microsoft.com/office/drawing/2014/main" id="{00000000-0008-0000-0900-000004000000}"/>
                </a:ext>
              </a:extLst>
            </xdr:cNvPr>
            <xdr:cNvSpPr/>
          </xdr:nvSpPr>
          <xdr:spPr>
            <a:xfrm>
              <a:off x="2299607" y="12722678"/>
              <a:ext cx="4738008" cy="503465"/>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rtlCol="0" anchor="ctr"/>
            <a:lstStyle/>
            <a:p>
              <a:endParaRPr lang="en-US"/>
            </a:p>
          </xdr:txBody>
        </xdr:sp>
        <xdr:sp macro="" textlink="">
          <xdr:nvSpPr>
            <xdr:cNvPr id="5" name="Rectangle 4">
              <a:extLst>
                <a:ext uri="{FF2B5EF4-FFF2-40B4-BE49-F238E27FC236}">
                  <a16:creationId xmlns:a16="http://schemas.microsoft.com/office/drawing/2014/main" id="{00000000-0008-0000-0900-000005000000}"/>
                </a:ext>
              </a:extLst>
            </xdr:cNvPr>
            <xdr:cNvSpPr/>
          </xdr:nvSpPr>
          <xdr:spPr>
            <a:xfrm>
              <a:off x="1973035" y="12722678"/>
              <a:ext cx="557893" cy="50482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6" name="Rectangle 5">
              <a:extLst>
                <a:ext uri="{FF2B5EF4-FFF2-40B4-BE49-F238E27FC236}">
                  <a16:creationId xmlns:a16="http://schemas.microsoft.com/office/drawing/2014/main" id="{00000000-0008-0000-0900-000006000000}"/>
                </a:ext>
              </a:extLst>
            </xdr:cNvPr>
            <xdr:cNvSpPr/>
          </xdr:nvSpPr>
          <xdr:spPr>
            <a:xfrm>
              <a:off x="6528707" y="12725400"/>
              <a:ext cx="537482" cy="51707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xnSp macro="">
          <xdr:nvCxnSpPr>
            <xdr:cNvPr id="7" name="Straight Arrow Connector 6">
              <a:extLst>
                <a:ext uri="{FF2B5EF4-FFF2-40B4-BE49-F238E27FC236}">
                  <a16:creationId xmlns:a16="http://schemas.microsoft.com/office/drawing/2014/main" id="{00000000-0008-0000-0900-000007000000}"/>
                </a:ext>
              </a:extLst>
            </xdr:cNvPr>
            <xdr:cNvCxnSpPr/>
          </xdr:nvCxnSpPr>
          <xdr:spPr>
            <a:xfrm>
              <a:off x="1306286" y="14001750"/>
              <a:ext cx="1959429" cy="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cxnSp macro="">
          <xdr:nvCxnSpPr>
            <xdr:cNvPr id="8" name="Straight Arrow Connector 7">
              <a:extLst>
                <a:ext uri="{FF2B5EF4-FFF2-40B4-BE49-F238E27FC236}">
                  <a16:creationId xmlns:a16="http://schemas.microsoft.com/office/drawing/2014/main" id="{00000000-0008-0000-0900-000008000000}"/>
                </a:ext>
              </a:extLst>
            </xdr:cNvPr>
            <xdr:cNvCxnSpPr/>
          </xdr:nvCxnSpPr>
          <xdr:spPr>
            <a:xfrm>
              <a:off x="5728608" y="13865679"/>
              <a:ext cx="1362074" cy="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cxnSp macro="">
          <xdr:nvCxnSpPr>
            <xdr:cNvPr id="9" name="Straight Arrow Connector 8">
              <a:extLst>
                <a:ext uri="{FF2B5EF4-FFF2-40B4-BE49-F238E27FC236}">
                  <a16:creationId xmlns:a16="http://schemas.microsoft.com/office/drawing/2014/main" id="{00000000-0008-0000-0900-000009000000}"/>
                </a:ext>
              </a:extLst>
            </xdr:cNvPr>
            <xdr:cNvCxnSpPr/>
          </xdr:nvCxnSpPr>
          <xdr:spPr>
            <a:xfrm flipH="1">
              <a:off x="1074964" y="12178393"/>
              <a:ext cx="13608" cy="1632857"/>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grpSp>
      <xdr:cxnSp macro="">
        <xdr:nvCxnSpPr>
          <xdr:cNvPr id="20" name="Straight Arrow Connector 19">
            <a:extLst>
              <a:ext uri="{FF2B5EF4-FFF2-40B4-BE49-F238E27FC236}">
                <a16:creationId xmlns:a16="http://schemas.microsoft.com/office/drawing/2014/main" id="{00000000-0008-0000-0900-000014000000}"/>
              </a:ext>
            </a:extLst>
          </xdr:cNvPr>
          <xdr:cNvCxnSpPr/>
        </xdr:nvCxnSpPr>
        <xdr:spPr>
          <a:xfrm>
            <a:off x="2721429" y="11742964"/>
            <a:ext cx="4572000" cy="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6" Type="http://schemas.openxmlformats.org/officeDocument/2006/relationships/control" Target="../activeX/activeX12.xml"/><Relationship Id="rId21" Type="http://schemas.openxmlformats.org/officeDocument/2006/relationships/image" Target="../media/image9.emf"/><Relationship Id="rId42" Type="http://schemas.openxmlformats.org/officeDocument/2006/relationships/control" Target="../activeX/activeX20.xml"/><Relationship Id="rId47" Type="http://schemas.openxmlformats.org/officeDocument/2006/relationships/image" Target="../media/image22.emf"/><Relationship Id="rId63" Type="http://schemas.openxmlformats.org/officeDocument/2006/relationships/image" Target="../media/image30.emf"/><Relationship Id="rId68" Type="http://schemas.openxmlformats.org/officeDocument/2006/relationships/control" Target="../activeX/activeX33.xml"/><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ntrol" Target="../activeX/activeX28.xml"/><Relationship Id="rId66" Type="http://schemas.openxmlformats.org/officeDocument/2006/relationships/control" Target="../activeX/activeX32.xml"/><Relationship Id="rId5" Type="http://schemas.openxmlformats.org/officeDocument/2006/relationships/image" Target="../media/image1.emf"/><Relationship Id="rId61" Type="http://schemas.openxmlformats.org/officeDocument/2006/relationships/image" Target="../media/image29.emf"/><Relationship Id="rId19" Type="http://schemas.openxmlformats.org/officeDocument/2006/relationships/image" Target="../media/image8.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64" Type="http://schemas.openxmlformats.org/officeDocument/2006/relationships/control" Target="../activeX/activeX31.xml"/><Relationship Id="rId69" Type="http://schemas.openxmlformats.org/officeDocument/2006/relationships/image" Target="../media/image33.emf"/><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control" Target="../activeX/activeX35.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59" Type="http://schemas.openxmlformats.org/officeDocument/2006/relationships/image" Target="../media/image28.emf"/><Relationship Id="rId67" Type="http://schemas.openxmlformats.org/officeDocument/2006/relationships/image" Target="../media/image32.emf"/><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62" Type="http://schemas.openxmlformats.org/officeDocument/2006/relationships/control" Target="../activeX/activeX30.xml"/><Relationship Id="rId70" Type="http://schemas.openxmlformats.org/officeDocument/2006/relationships/control" Target="../activeX/activeX34.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60" Type="http://schemas.openxmlformats.org/officeDocument/2006/relationships/control" Target="../activeX/activeX29.xml"/><Relationship Id="rId65" Type="http://schemas.openxmlformats.org/officeDocument/2006/relationships/image" Target="../media/image31.emf"/><Relationship Id="rId73" Type="http://schemas.openxmlformats.org/officeDocument/2006/relationships/image" Target="../media/image35.emf"/><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 Type="http://schemas.openxmlformats.org/officeDocument/2006/relationships/image" Target="../media/image2.emf"/><Relationship Id="rId71" Type="http://schemas.openxmlformats.org/officeDocument/2006/relationships/image" Target="../media/image34.emf"/></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7.bin"/><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2.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AZ22"/>
  <sheetViews>
    <sheetView showGridLines="0" workbookViewId="0"/>
  </sheetViews>
  <sheetFormatPr defaultColWidth="8.7109375" defaultRowHeight="12.75" x14ac:dyDescent="0.2"/>
  <sheetData>
    <row r="1" spans="1:52" x14ac:dyDescent="0.2">
      <c r="A1" s="2"/>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row>
    <row r="2" spans="1:52" x14ac:dyDescent="0.2">
      <c r="A2" s="1"/>
      <c r="B2" s="1"/>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row>
    <row r="3" spans="1:52" x14ac:dyDescent="0.2">
      <c r="A3" s="1"/>
      <c r="B3" s="1"/>
      <c r="C3" s="1"/>
      <c r="D3" s="1"/>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row>
    <row r="4" spans="1:52" x14ac:dyDescent="0.2">
      <c r="A4" s="1"/>
      <c r="B4" s="1"/>
      <c r="C4" s="1"/>
      <c r="D4" s="1"/>
      <c r="E4" s="1"/>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row>
    <row r="5" spans="1:52" x14ac:dyDescent="0.2">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row>
    <row r="6" spans="1:52" x14ac:dyDescent="0.2">
      <c r="A6" s="1"/>
      <c r="B6" s="1"/>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row>
    <row r="7" spans="1:52" x14ac:dyDescent="0.2">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row>
    <row r="8" spans="1:52" x14ac:dyDescent="0.2">
      <c r="A8" s="1"/>
      <c r="B8" s="1"/>
      <c r="C8" s="1"/>
      <c r="D8" s="1"/>
      <c r="E8" s="1"/>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row>
    <row r="9" spans="1:52" x14ac:dyDescent="0.2">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row>
    <row r="10" spans="1:52" x14ac:dyDescent="0.2">
      <c r="A10" s="1"/>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row>
    <row r="11" spans="1:52" x14ac:dyDescent="0.2">
      <c r="A11" s="2"/>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c r="AZ11" s="1"/>
    </row>
    <row r="12" spans="1:52" x14ac:dyDescent="0.2">
      <c r="A12" s="1"/>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row>
    <row r="13" spans="1:52" x14ac:dyDescent="0.2">
      <c r="A13" s="1"/>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c r="AZ13" s="1"/>
    </row>
    <row r="14" spans="1:52" x14ac:dyDescent="0.2">
      <c r="A14" s="1"/>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row>
    <row r="15" spans="1:52" x14ac:dyDescent="0.2">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row>
    <row r="16" spans="1:52" x14ac:dyDescent="0.2">
      <c r="A16" s="1"/>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row>
    <row r="17" spans="1:52" x14ac:dyDescent="0.2">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row>
    <row r="18" spans="1:52" x14ac:dyDescent="0.2">
      <c r="A18" s="1"/>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row>
    <row r="19" spans="1:52" x14ac:dyDescent="0.2">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row>
    <row r="20" spans="1:52" x14ac:dyDescent="0.2">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row>
    <row r="21" spans="1:52" x14ac:dyDescent="0.2">
      <c r="A21" s="1"/>
      <c r="B21" s="1"/>
      <c r="C21" s="1"/>
      <c r="D21" s="1"/>
      <c r="E21" s="1"/>
      <c r="F21" s="1"/>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row>
    <row r="22" spans="1:52" x14ac:dyDescent="0.2">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1"/>
    </row>
  </sheetData>
  <customSheetViews>
    <customSheetView guid="{F4A77AC2-BDEF-4892-9A52-8132BA2AE24F}" showGridLines="0" state="hidden">
      <pageMargins left="0.75" right="0.75" top="1" bottom="1" header="0.5" footer="0.5"/>
      <headerFooter alignWithMargins="0"/>
    </customSheetView>
  </customSheetViews>
  <phoneticPr fontId="3"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FF0000"/>
  </sheetPr>
  <dimension ref="A1:W143"/>
  <sheetViews>
    <sheetView topLeftCell="A120" zoomScale="85" zoomScaleNormal="85" workbookViewId="0">
      <selection activeCell="D134" sqref="D134"/>
    </sheetView>
  </sheetViews>
  <sheetFormatPr defaultRowHeight="15" x14ac:dyDescent="0.25"/>
  <cols>
    <col min="1" max="1" width="9.140625" style="260"/>
    <col min="2" max="2" width="45.7109375" style="261" customWidth="1"/>
    <col min="3" max="3" width="16" style="261" bestFit="1" customWidth="1"/>
    <col min="4" max="4" width="15.140625" style="261" bestFit="1" customWidth="1"/>
    <col min="5" max="5" width="11.5703125" style="261" bestFit="1" customWidth="1"/>
    <col min="6" max="7" width="9.140625" style="261"/>
    <col min="8" max="8" width="29.28515625" style="261" customWidth="1"/>
    <col min="9" max="9" width="15.28515625" style="270" customWidth="1"/>
    <col min="10" max="13" width="9.140625" style="261"/>
    <col min="14" max="14" width="9.140625" style="271"/>
    <col min="15" max="16384" width="9.140625" style="261"/>
  </cols>
  <sheetData>
    <row r="1" spans="1:20" ht="16.5" thickTop="1" thickBot="1" x14ac:dyDescent="0.3">
      <c r="A1" s="260">
        <v>1</v>
      </c>
      <c r="B1" s="609" t="s">
        <v>230</v>
      </c>
      <c r="C1" s="609"/>
      <c r="D1" s="609"/>
      <c r="E1" s="609"/>
      <c r="F1" s="609"/>
      <c r="G1" s="609"/>
      <c r="I1" s="262"/>
      <c r="J1" s="263"/>
      <c r="K1" s="263"/>
      <c r="L1" s="263"/>
      <c r="M1" s="263"/>
      <c r="N1" s="263"/>
      <c r="O1" s="302"/>
      <c r="R1" s="307"/>
      <c r="S1" s="307"/>
      <c r="T1" s="308"/>
    </row>
    <row r="2" spans="1:20" ht="15.75" thickBot="1" x14ac:dyDescent="0.3">
      <c r="A2" s="260">
        <v>2</v>
      </c>
      <c r="B2" s="264"/>
      <c r="C2" s="261" t="s">
        <v>231</v>
      </c>
      <c r="D2" s="609" t="s">
        <v>232</v>
      </c>
      <c r="E2" s="609"/>
      <c r="F2" s="609"/>
      <c r="G2" s="609"/>
      <c r="I2" s="262"/>
      <c r="J2" s="263"/>
      <c r="K2" s="263"/>
      <c r="L2" s="263"/>
      <c r="M2" s="263"/>
      <c r="N2" s="263"/>
      <c r="O2" s="309"/>
      <c r="P2" s="310" t="s">
        <v>520</v>
      </c>
      <c r="Q2" s="311" t="s">
        <v>521</v>
      </c>
      <c r="R2" s="312"/>
      <c r="S2" s="311"/>
      <c r="T2" s="313"/>
    </row>
    <row r="3" spans="1:20" x14ac:dyDescent="0.25">
      <c r="A3" s="260">
        <v>3</v>
      </c>
      <c r="B3" s="265"/>
      <c r="C3" s="261" t="s">
        <v>233</v>
      </c>
      <c r="D3" s="609" t="s">
        <v>234</v>
      </c>
      <c r="E3" s="609"/>
      <c r="F3" s="609"/>
      <c r="G3" s="609"/>
      <c r="I3" s="262"/>
      <c r="J3" s="263"/>
      <c r="K3" s="263"/>
      <c r="L3" s="263"/>
      <c r="M3" s="263"/>
      <c r="N3" s="263"/>
      <c r="O3" s="302"/>
      <c r="P3" s="261" t="s">
        <v>523</v>
      </c>
      <c r="Q3" s="261">
        <f>A6</f>
        <v>6</v>
      </c>
      <c r="T3" s="305"/>
    </row>
    <row r="4" spans="1:20" x14ac:dyDescent="0.25">
      <c r="A4" s="260">
        <v>4</v>
      </c>
      <c r="B4" s="266"/>
      <c r="C4" s="261" t="s">
        <v>235</v>
      </c>
      <c r="D4" s="609" t="s">
        <v>236</v>
      </c>
      <c r="E4" s="609"/>
      <c r="F4" s="609"/>
      <c r="G4" s="609"/>
      <c r="I4" s="262"/>
      <c r="J4" s="263"/>
      <c r="K4" s="263"/>
      <c r="L4" s="263"/>
      <c r="M4" s="263"/>
      <c r="N4" s="263"/>
      <c r="O4" s="302"/>
      <c r="P4" s="261" t="s">
        <v>522</v>
      </c>
      <c r="Q4" s="261">
        <f>A21</f>
        <v>21</v>
      </c>
      <c r="T4" s="305"/>
    </row>
    <row r="5" spans="1:20" x14ac:dyDescent="0.25">
      <c r="A5" s="260">
        <v>5</v>
      </c>
      <c r="I5" s="262"/>
      <c r="J5" s="263"/>
      <c r="K5" s="263"/>
      <c r="L5" s="263"/>
      <c r="M5" s="263"/>
      <c r="N5" s="263"/>
      <c r="O5" s="302"/>
      <c r="P5" s="261" t="s">
        <v>524</v>
      </c>
      <c r="Q5" s="261">
        <f>A31</f>
        <v>31</v>
      </c>
      <c r="T5" s="305"/>
    </row>
    <row r="6" spans="1:20" x14ac:dyDescent="0.25">
      <c r="A6" s="260">
        <v>6</v>
      </c>
      <c r="B6" s="603" t="s">
        <v>237</v>
      </c>
      <c r="C6" s="603"/>
      <c r="D6" s="603"/>
      <c r="E6" s="603"/>
      <c r="F6" s="603"/>
      <c r="G6" s="603"/>
      <c r="H6" s="603"/>
      <c r="I6" s="262"/>
      <c r="J6" s="263"/>
      <c r="K6" s="263"/>
      <c r="L6" s="263"/>
      <c r="M6" s="263"/>
      <c r="N6" s="263"/>
      <c r="O6" s="302"/>
      <c r="P6" s="261" t="s">
        <v>525</v>
      </c>
      <c r="Q6" s="261">
        <f>A41</f>
        <v>41</v>
      </c>
      <c r="T6" s="305"/>
    </row>
    <row r="7" spans="1:20" x14ac:dyDescent="0.25">
      <c r="A7" s="260">
        <v>7</v>
      </c>
      <c r="B7" s="261" t="s">
        <v>238</v>
      </c>
      <c r="C7" s="605" t="s">
        <v>691</v>
      </c>
      <c r="D7" s="605"/>
      <c r="E7" s="605"/>
      <c r="F7" s="605"/>
      <c r="G7" s="605"/>
      <c r="H7" s="607"/>
      <c r="I7" s="262" t="s">
        <v>239</v>
      </c>
      <c r="J7" s="263"/>
      <c r="K7" s="263"/>
      <c r="L7" s="263"/>
      <c r="M7" s="263"/>
      <c r="N7" s="263"/>
      <c r="O7" s="302"/>
      <c r="P7" s="261" t="s">
        <v>526</v>
      </c>
      <c r="Q7" s="261">
        <f>A61</f>
        <v>61</v>
      </c>
      <c r="T7" s="305"/>
    </row>
    <row r="8" spans="1:20" x14ac:dyDescent="0.25">
      <c r="A8" s="260">
        <v>8</v>
      </c>
      <c r="B8" s="608" t="s">
        <v>240</v>
      </c>
      <c r="C8" s="285" t="s">
        <v>241</v>
      </c>
      <c r="D8" s="605" t="s">
        <v>440</v>
      </c>
      <c r="E8" s="605"/>
      <c r="F8" s="605"/>
      <c r="G8" s="605"/>
      <c r="H8" s="607"/>
      <c r="I8" s="262"/>
      <c r="J8" s="262" t="s">
        <v>242</v>
      </c>
      <c r="K8" s="263"/>
      <c r="L8" s="263"/>
      <c r="M8" s="263"/>
      <c r="N8" s="263"/>
      <c r="O8" s="302"/>
      <c r="P8" s="261" t="s">
        <v>696</v>
      </c>
      <c r="Q8" s="261">
        <f>A124</f>
        <v>124</v>
      </c>
      <c r="T8" s="305"/>
    </row>
    <row r="9" spans="1:20" x14ac:dyDescent="0.25">
      <c r="A9" s="260">
        <v>9</v>
      </c>
      <c r="B9" s="608"/>
      <c r="C9" s="285" t="s">
        <v>243</v>
      </c>
      <c r="D9" s="605" t="s">
        <v>244</v>
      </c>
      <c r="E9" s="605"/>
      <c r="F9" s="605"/>
      <c r="G9" s="605"/>
      <c r="H9" s="607"/>
      <c r="I9" s="262"/>
      <c r="J9" s="262" t="s">
        <v>245</v>
      </c>
      <c r="K9" s="263"/>
      <c r="L9" s="263"/>
      <c r="M9" s="263"/>
      <c r="N9" s="263"/>
      <c r="O9" s="302"/>
      <c r="T9" s="305"/>
    </row>
    <row r="10" spans="1:20" x14ac:dyDescent="0.25">
      <c r="A10" s="260">
        <v>10</v>
      </c>
      <c r="B10" s="608"/>
      <c r="C10" s="285" t="s">
        <v>246</v>
      </c>
      <c r="D10" s="605" t="s">
        <v>247</v>
      </c>
      <c r="E10" s="605"/>
      <c r="F10" s="605"/>
      <c r="G10" s="605"/>
      <c r="H10" s="607"/>
      <c r="I10" s="262"/>
      <c r="J10" s="262" t="s">
        <v>248</v>
      </c>
      <c r="K10" s="263"/>
      <c r="L10" s="263"/>
      <c r="M10" s="263"/>
      <c r="N10" s="263"/>
      <c r="O10" s="302"/>
      <c r="T10" s="305"/>
    </row>
    <row r="11" spans="1:20" x14ac:dyDescent="0.25">
      <c r="A11" s="260">
        <v>11</v>
      </c>
      <c r="B11" s="261" t="s">
        <v>249</v>
      </c>
      <c r="C11" s="605" t="s">
        <v>250</v>
      </c>
      <c r="D11" s="605"/>
      <c r="E11" s="605"/>
      <c r="F11" s="605"/>
      <c r="G11" s="605"/>
      <c r="H11" s="607"/>
      <c r="I11" s="262"/>
      <c r="J11" s="263"/>
      <c r="K11" s="263"/>
      <c r="L11" s="263"/>
      <c r="M11" s="263"/>
      <c r="N11" s="263"/>
      <c r="O11" s="302"/>
      <c r="T11" s="305"/>
    </row>
    <row r="12" spans="1:20" x14ac:dyDescent="0.25">
      <c r="A12" s="260">
        <v>12</v>
      </c>
      <c r="B12" s="261" t="s">
        <v>251</v>
      </c>
      <c r="C12" s="605" t="s">
        <v>252</v>
      </c>
      <c r="D12" s="605"/>
      <c r="E12" s="605"/>
      <c r="F12" s="605"/>
      <c r="G12" s="605"/>
      <c r="H12" s="607"/>
      <c r="I12" s="262"/>
      <c r="J12" s="263"/>
      <c r="K12" s="263"/>
      <c r="L12" s="263"/>
      <c r="M12" s="263"/>
      <c r="N12" s="263"/>
      <c r="O12" s="302"/>
      <c r="T12" s="305"/>
    </row>
    <row r="13" spans="1:20" x14ac:dyDescent="0.25">
      <c r="A13" s="260">
        <v>13</v>
      </c>
      <c r="B13" s="261" t="s">
        <v>253</v>
      </c>
      <c r="C13" s="605" t="s">
        <v>254</v>
      </c>
      <c r="D13" s="605"/>
      <c r="E13" s="605"/>
      <c r="F13" s="605"/>
      <c r="G13" s="605"/>
      <c r="H13" s="607"/>
      <c r="I13" s="262"/>
      <c r="J13" s="263"/>
      <c r="K13" s="263"/>
      <c r="L13" s="263"/>
      <c r="M13" s="263"/>
      <c r="N13" s="263"/>
      <c r="O13" s="302"/>
      <c r="T13" s="305"/>
    </row>
    <row r="14" spans="1:20" x14ac:dyDescent="0.25">
      <c r="A14" s="260">
        <v>14</v>
      </c>
      <c r="I14" s="262"/>
      <c r="J14" s="263"/>
      <c r="K14" s="263"/>
      <c r="L14" s="263"/>
      <c r="M14" s="263"/>
      <c r="N14" s="263"/>
      <c r="O14" s="302"/>
      <c r="T14" s="305"/>
    </row>
    <row r="15" spans="1:20" x14ac:dyDescent="0.25">
      <c r="A15" s="260">
        <v>15</v>
      </c>
      <c r="B15" s="261" t="s">
        <v>255</v>
      </c>
      <c r="C15" s="605" t="s">
        <v>515</v>
      </c>
      <c r="D15" s="605"/>
      <c r="E15" s="605"/>
      <c r="F15" s="605"/>
      <c r="G15" s="605"/>
      <c r="H15" s="605"/>
      <c r="I15" s="262" t="s">
        <v>256</v>
      </c>
      <c r="J15" s="263"/>
      <c r="K15" s="263"/>
      <c r="L15" s="263"/>
      <c r="M15" s="263"/>
      <c r="N15" s="263"/>
      <c r="O15" s="302"/>
      <c r="T15" s="305"/>
    </row>
    <row r="16" spans="1:20" x14ac:dyDescent="0.25">
      <c r="A16" s="260">
        <v>16</v>
      </c>
      <c r="I16" s="262"/>
      <c r="J16" s="263"/>
      <c r="K16" s="263"/>
      <c r="L16" s="263"/>
      <c r="M16" s="263"/>
      <c r="N16" s="263"/>
      <c r="O16" s="302"/>
      <c r="T16" s="305"/>
    </row>
    <row r="17" spans="1:20" ht="15.75" thickBot="1" x14ac:dyDescent="0.3">
      <c r="A17" s="260">
        <v>17</v>
      </c>
      <c r="I17" s="262"/>
      <c r="J17" s="263"/>
      <c r="K17" s="263"/>
      <c r="L17" s="263"/>
      <c r="M17" s="263"/>
      <c r="N17" s="263"/>
      <c r="O17" s="302"/>
      <c r="P17" s="303"/>
      <c r="Q17" s="304"/>
      <c r="R17" s="304"/>
      <c r="S17" s="304"/>
      <c r="T17" s="306"/>
    </row>
    <row r="18" spans="1:20" ht="15.75" thickTop="1" x14ac:dyDescent="0.25">
      <c r="A18" s="260">
        <v>18</v>
      </c>
      <c r="I18" s="262"/>
      <c r="J18" s="263"/>
      <c r="K18" s="263"/>
      <c r="L18" s="263"/>
      <c r="M18" s="263"/>
      <c r="N18" s="263"/>
    </row>
    <row r="19" spans="1:20" x14ac:dyDescent="0.25">
      <c r="A19" s="260">
        <v>19</v>
      </c>
      <c r="I19" s="262"/>
      <c r="J19" s="263"/>
      <c r="K19" s="263"/>
      <c r="L19" s="263"/>
      <c r="M19" s="263"/>
      <c r="N19" s="263"/>
    </row>
    <row r="20" spans="1:20" x14ac:dyDescent="0.25">
      <c r="A20" s="260">
        <v>20</v>
      </c>
      <c r="I20" s="262"/>
      <c r="J20" s="263"/>
      <c r="K20" s="263"/>
      <c r="L20" s="263"/>
      <c r="M20" s="263"/>
      <c r="N20" s="263"/>
    </row>
    <row r="21" spans="1:20" x14ac:dyDescent="0.25">
      <c r="A21" s="260">
        <v>21</v>
      </c>
      <c r="B21" s="603" t="s">
        <v>257</v>
      </c>
      <c r="C21" s="603"/>
      <c r="D21" s="603"/>
      <c r="E21" s="603"/>
      <c r="F21" s="603"/>
      <c r="G21" s="603"/>
      <c r="H21" s="603"/>
      <c r="I21" s="262"/>
      <c r="J21" s="263"/>
      <c r="K21" s="263"/>
      <c r="L21" s="263"/>
      <c r="M21" s="263"/>
      <c r="N21" s="263"/>
    </row>
    <row r="22" spans="1:20" x14ac:dyDescent="0.25">
      <c r="A22" s="260">
        <v>22</v>
      </c>
      <c r="B22" s="261" t="s">
        <v>238</v>
      </c>
      <c r="C22" s="604" t="s">
        <v>436</v>
      </c>
      <c r="D22" s="604"/>
      <c r="E22" s="604"/>
      <c r="F22" s="604"/>
      <c r="G22" s="604"/>
      <c r="H22" s="604"/>
      <c r="I22" s="262"/>
      <c r="J22" s="263"/>
      <c r="K22" s="263"/>
      <c r="L22" s="263"/>
      <c r="M22" s="263"/>
      <c r="N22" s="263"/>
    </row>
    <row r="23" spans="1:20" x14ac:dyDescent="0.25">
      <c r="A23" s="260">
        <v>23</v>
      </c>
      <c r="B23" s="608" t="s">
        <v>258</v>
      </c>
      <c r="C23" s="261" t="s">
        <v>241</v>
      </c>
      <c r="D23" s="604" t="s">
        <v>692</v>
      </c>
      <c r="E23" s="604"/>
      <c r="F23" s="604"/>
      <c r="G23" s="604"/>
      <c r="H23" s="604"/>
      <c r="I23" s="262"/>
      <c r="J23" s="262" t="s">
        <v>259</v>
      </c>
      <c r="K23" s="263"/>
      <c r="L23" s="263"/>
      <c r="M23" s="263"/>
      <c r="N23" s="263"/>
    </row>
    <row r="24" spans="1:20" x14ac:dyDescent="0.25">
      <c r="A24" s="260">
        <v>24</v>
      </c>
      <c r="B24" s="608"/>
      <c r="C24" s="261" t="s">
        <v>243</v>
      </c>
      <c r="D24" s="604" t="s">
        <v>244</v>
      </c>
      <c r="E24" s="604"/>
      <c r="F24" s="604"/>
      <c r="G24" s="604"/>
      <c r="H24" s="604"/>
      <c r="I24" s="262"/>
      <c r="J24" s="262" t="s">
        <v>260</v>
      </c>
      <c r="K24" s="263"/>
      <c r="L24" s="263"/>
      <c r="M24" s="263"/>
      <c r="N24" s="263"/>
    </row>
    <row r="25" spans="1:20" x14ac:dyDescent="0.25">
      <c r="A25" s="260">
        <v>25</v>
      </c>
      <c r="B25" s="608"/>
      <c r="C25" s="261" t="s">
        <v>246</v>
      </c>
      <c r="D25" s="604" t="s">
        <v>247</v>
      </c>
      <c r="E25" s="604"/>
      <c r="F25" s="604"/>
      <c r="G25" s="604"/>
      <c r="H25" s="604"/>
      <c r="I25" s="262"/>
      <c r="J25" s="262" t="s">
        <v>261</v>
      </c>
      <c r="K25" s="263"/>
      <c r="L25" s="263"/>
      <c r="M25" s="263"/>
      <c r="N25" s="263"/>
    </row>
    <row r="26" spans="1:20" x14ac:dyDescent="0.25">
      <c r="A26" s="260">
        <v>26</v>
      </c>
      <c r="I26" s="262"/>
      <c r="J26" s="263"/>
      <c r="K26" s="263"/>
      <c r="L26" s="263"/>
      <c r="M26" s="263"/>
      <c r="N26" s="263"/>
    </row>
    <row r="27" spans="1:20" x14ac:dyDescent="0.25">
      <c r="A27" s="260">
        <v>27</v>
      </c>
      <c r="I27" s="262"/>
      <c r="J27" s="263"/>
      <c r="K27" s="263"/>
      <c r="L27" s="263"/>
      <c r="M27" s="263"/>
      <c r="N27" s="263"/>
    </row>
    <row r="28" spans="1:20" x14ac:dyDescent="0.25">
      <c r="A28" s="260">
        <v>28</v>
      </c>
      <c r="I28" s="262"/>
      <c r="J28" s="263"/>
      <c r="K28" s="263"/>
      <c r="L28" s="263"/>
      <c r="M28" s="263"/>
      <c r="N28" s="263"/>
    </row>
    <row r="29" spans="1:20" x14ac:dyDescent="0.25">
      <c r="A29" s="260">
        <v>29</v>
      </c>
      <c r="I29" s="262"/>
      <c r="J29" s="263"/>
      <c r="K29" s="263"/>
      <c r="L29" s="263"/>
      <c r="M29" s="263"/>
      <c r="N29" s="263"/>
    </row>
    <row r="30" spans="1:20" x14ac:dyDescent="0.25">
      <c r="A30" s="260">
        <v>30</v>
      </c>
      <c r="I30" s="262"/>
      <c r="J30" s="263"/>
      <c r="K30" s="263"/>
      <c r="L30" s="263"/>
      <c r="M30" s="263"/>
      <c r="N30" s="263"/>
    </row>
    <row r="31" spans="1:20" x14ac:dyDescent="0.25">
      <c r="A31" s="260">
        <v>31</v>
      </c>
      <c r="B31" s="603" t="s">
        <v>262</v>
      </c>
      <c r="C31" s="603"/>
      <c r="D31" s="603"/>
      <c r="E31" s="603"/>
      <c r="F31" s="603"/>
      <c r="G31" s="603"/>
      <c r="H31" s="603"/>
      <c r="I31" s="262"/>
      <c r="J31" s="263"/>
      <c r="K31" s="263"/>
      <c r="L31" s="263"/>
      <c r="M31" s="263"/>
      <c r="N31" s="263"/>
      <c r="T31" s="261" t="s">
        <v>263</v>
      </c>
    </row>
    <row r="32" spans="1:20" x14ac:dyDescent="0.25">
      <c r="A32" s="260">
        <v>32</v>
      </c>
      <c r="B32" s="261" t="s">
        <v>10</v>
      </c>
      <c r="C32" s="285" t="s">
        <v>264</v>
      </c>
      <c r="D32" s="285" t="s">
        <v>265</v>
      </c>
      <c r="I32" s="262" t="s">
        <v>266</v>
      </c>
      <c r="J32" s="263" t="s">
        <v>267</v>
      </c>
      <c r="K32" s="263"/>
      <c r="L32" s="263"/>
      <c r="M32" s="263"/>
      <c r="N32" s="263"/>
      <c r="T32" s="267" t="s">
        <v>439</v>
      </c>
    </row>
    <row r="33" spans="1:20" x14ac:dyDescent="0.25">
      <c r="A33" s="260">
        <v>33</v>
      </c>
      <c r="B33" s="261" t="s">
        <v>269</v>
      </c>
      <c r="C33" s="264" t="s">
        <v>437</v>
      </c>
      <c r="D33" s="261" t="str">
        <f>IF(C33="Dual Systems", "Special RC moment- resisting frames (SMRF) and shear walls.", "")</f>
        <v/>
      </c>
      <c r="I33" s="262" t="s">
        <v>271</v>
      </c>
      <c r="J33" s="261" t="s">
        <v>378</v>
      </c>
      <c r="K33" s="263"/>
      <c r="L33" s="263"/>
      <c r="M33" s="263"/>
      <c r="N33" s="263"/>
      <c r="T33" s="267" t="s">
        <v>268</v>
      </c>
    </row>
    <row r="34" spans="1:20" x14ac:dyDescent="0.25">
      <c r="A34" s="260">
        <v>34</v>
      </c>
      <c r="B34" s="261" t="s">
        <v>273</v>
      </c>
      <c r="C34" s="604">
        <v>3</v>
      </c>
      <c r="D34" s="604"/>
      <c r="E34" s="604"/>
      <c r="F34" s="604"/>
      <c r="G34" s="604"/>
      <c r="H34" s="604"/>
      <c r="I34" s="262" t="s">
        <v>274</v>
      </c>
      <c r="J34" s="263"/>
      <c r="K34" s="263"/>
      <c r="L34" s="263"/>
      <c r="M34" s="263"/>
      <c r="N34" s="263"/>
      <c r="T34" s="267" t="s">
        <v>272</v>
      </c>
    </row>
    <row r="35" spans="1:20" x14ac:dyDescent="0.25">
      <c r="A35" s="260">
        <v>35</v>
      </c>
      <c r="B35" s="261" t="s">
        <v>275</v>
      </c>
      <c r="C35" s="605" t="s">
        <v>439</v>
      </c>
      <c r="D35" s="605"/>
      <c r="E35" s="605"/>
      <c r="F35" s="605"/>
      <c r="G35" s="605"/>
      <c r="H35" s="605"/>
      <c r="I35" s="262" t="s">
        <v>276</v>
      </c>
      <c r="J35" s="263"/>
      <c r="K35" s="263"/>
      <c r="L35" s="263"/>
      <c r="M35" s="263"/>
      <c r="N35" s="263"/>
      <c r="T35" s="267"/>
    </row>
    <row r="36" spans="1:20" x14ac:dyDescent="0.25">
      <c r="A36" s="260">
        <v>36</v>
      </c>
      <c r="I36" s="262"/>
      <c r="J36" s="263"/>
      <c r="K36" s="263"/>
      <c r="L36" s="263"/>
      <c r="M36" s="263"/>
      <c r="N36" s="263"/>
      <c r="T36" s="267"/>
    </row>
    <row r="37" spans="1:20" x14ac:dyDescent="0.25">
      <c r="A37" s="260">
        <v>37</v>
      </c>
      <c r="I37" s="262"/>
      <c r="J37" s="263"/>
      <c r="K37" s="263"/>
      <c r="L37" s="263"/>
      <c r="M37" s="263"/>
      <c r="N37" s="263"/>
    </row>
    <row r="38" spans="1:20" x14ac:dyDescent="0.25">
      <c r="A38" s="260">
        <v>38</v>
      </c>
      <c r="I38" s="262"/>
      <c r="J38" s="263"/>
      <c r="K38" s="263"/>
      <c r="L38" s="263"/>
      <c r="M38" s="263"/>
      <c r="N38" s="263"/>
    </row>
    <row r="39" spans="1:20" x14ac:dyDescent="0.25">
      <c r="A39" s="260">
        <v>39</v>
      </c>
      <c r="I39" s="262"/>
      <c r="J39" s="263"/>
      <c r="K39" s="263"/>
      <c r="L39" s="263"/>
      <c r="M39" s="263"/>
      <c r="N39" s="263"/>
    </row>
    <row r="40" spans="1:20" x14ac:dyDescent="0.25">
      <c r="A40" s="260">
        <v>40</v>
      </c>
      <c r="I40" s="262"/>
      <c r="J40" s="263"/>
      <c r="K40" s="263"/>
      <c r="L40" s="263"/>
      <c r="M40" s="263"/>
      <c r="N40" s="263"/>
    </row>
    <row r="41" spans="1:20" x14ac:dyDescent="0.25">
      <c r="A41" s="260">
        <v>41</v>
      </c>
      <c r="B41" s="603" t="s">
        <v>277</v>
      </c>
      <c r="C41" s="603"/>
      <c r="D41" s="603"/>
      <c r="E41" s="603"/>
      <c r="F41" s="603"/>
      <c r="G41" s="603"/>
      <c r="H41" s="603"/>
      <c r="I41" s="262"/>
      <c r="J41" s="263"/>
      <c r="K41" s="263"/>
      <c r="L41" s="263"/>
      <c r="M41" s="263"/>
      <c r="N41" s="263"/>
      <c r="T41" s="261" t="s">
        <v>278</v>
      </c>
    </row>
    <row r="42" spans="1:20" x14ac:dyDescent="0.25">
      <c r="A42" s="260">
        <v>42</v>
      </c>
      <c r="B42" s="261" t="s">
        <v>279</v>
      </c>
      <c r="C42" s="264" t="s">
        <v>438</v>
      </c>
      <c r="I42" s="262"/>
      <c r="J42" s="263"/>
      <c r="K42" s="263"/>
      <c r="L42" s="263"/>
      <c r="M42" s="263"/>
      <c r="N42" s="263"/>
      <c r="T42" s="267" t="s">
        <v>280</v>
      </c>
    </row>
    <row r="43" spans="1:20" x14ac:dyDescent="0.25">
      <c r="A43" s="260">
        <v>43</v>
      </c>
      <c r="B43" s="266" t="s">
        <v>281</v>
      </c>
      <c r="I43" s="262"/>
      <c r="J43" s="263"/>
      <c r="K43" s="263"/>
      <c r="L43" s="263"/>
      <c r="M43" s="263"/>
      <c r="N43" s="263"/>
      <c r="T43" s="267" t="s">
        <v>282</v>
      </c>
    </row>
    <row r="44" spans="1:20" x14ac:dyDescent="0.25">
      <c r="A44" s="260">
        <v>44</v>
      </c>
      <c r="B44" s="268"/>
      <c r="C44" s="268" t="s">
        <v>283</v>
      </c>
      <c r="D44" s="268" t="s">
        <v>284</v>
      </c>
      <c r="E44" s="268" t="s">
        <v>285</v>
      </c>
      <c r="F44" s="606" t="s">
        <v>286</v>
      </c>
      <c r="G44" s="606"/>
      <c r="H44" s="606"/>
      <c r="I44" s="262"/>
      <c r="J44" s="263"/>
      <c r="K44" s="263"/>
      <c r="L44" s="263"/>
      <c r="M44" s="263"/>
      <c r="N44" s="263"/>
      <c r="T44" s="267" t="s">
        <v>287</v>
      </c>
    </row>
    <row r="45" spans="1:20" x14ac:dyDescent="0.25">
      <c r="A45" s="260">
        <v>45</v>
      </c>
      <c r="B45" s="268" t="s">
        <v>288</v>
      </c>
      <c r="C45" s="286" t="s">
        <v>280</v>
      </c>
      <c r="D45" s="286">
        <v>2016</v>
      </c>
      <c r="E45" s="286">
        <v>1</v>
      </c>
      <c r="F45" s="602" t="s">
        <v>289</v>
      </c>
      <c r="G45" s="602"/>
      <c r="H45" s="602"/>
      <c r="I45" s="262" t="s">
        <v>290</v>
      </c>
      <c r="J45" s="262" t="s">
        <v>291</v>
      </c>
      <c r="K45" s="262" t="s">
        <v>292</v>
      </c>
      <c r="L45" s="262" t="s">
        <v>293</v>
      </c>
      <c r="M45" s="263"/>
      <c r="N45" s="263"/>
      <c r="T45" s="267" t="s">
        <v>294</v>
      </c>
    </row>
    <row r="46" spans="1:20" x14ac:dyDescent="0.25">
      <c r="A46" s="260">
        <v>46</v>
      </c>
      <c r="B46" s="268" t="s">
        <v>295</v>
      </c>
      <c r="C46" s="286" t="s">
        <v>287</v>
      </c>
      <c r="D46" s="286">
        <v>2000</v>
      </c>
      <c r="E46" s="286"/>
      <c r="F46" s="602" t="s">
        <v>296</v>
      </c>
      <c r="G46" s="602"/>
      <c r="H46" s="602"/>
      <c r="I46" s="262" t="s">
        <v>297</v>
      </c>
      <c r="J46" s="262" t="s">
        <v>298</v>
      </c>
      <c r="K46" s="263"/>
      <c r="L46" s="262" t="s">
        <v>299</v>
      </c>
      <c r="M46" s="263"/>
      <c r="N46" s="263"/>
      <c r="T46" s="267" t="s">
        <v>300</v>
      </c>
    </row>
    <row r="47" spans="1:20" x14ac:dyDescent="0.25">
      <c r="A47" s="260">
        <v>47</v>
      </c>
      <c r="B47" s="268" t="s">
        <v>301</v>
      </c>
      <c r="C47" s="286" t="s">
        <v>300</v>
      </c>
      <c r="D47" s="286">
        <v>1987</v>
      </c>
      <c r="E47" s="286">
        <v>1</v>
      </c>
      <c r="F47" s="602" t="s">
        <v>302</v>
      </c>
      <c r="G47" s="602"/>
      <c r="H47" s="602"/>
      <c r="I47" s="262" t="s">
        <v>303</v>
      </c>
      <c r="J47" s="262" t="s">
        <v>304</v>
      </c>
      <c r="K47" s="262" t="s">
        <v>292</v>
      </c>
      <c r="L47" s="262" t="s">
        <v>305</v>
      </c>
      <c r="M47" s="263"/>
      <c r="N47" s="263"/>
      <c r="T47" s="267" t="s">
        <v>306</v>
      </c>
    </row>
    <row r="48" spans="1:20" x14ac:dyDescent="0.25">
      <c r="A48" s="260">
        <v>48</v>
      </c>
      <c r="B48" s="268" t="s">
        <v>307</v>
      </c>
      <c r="C48" s="286" t="s">
        <v>300</v>
      </c>
      <c r="D48" s="286">
        <v>1987</v>
      </c>
      <c r="E48" s="286">
        <v>2</v>
      </c>
      <c r="F48" s="602" t="s">
        <v>308</v>
      </c>
      <c r="G48" s="602"/>
      <c r="H48" s="602"/>
      <c r="I48" s="262" t="s">
        <v>309</v>
      </c>
      <c r="J48" s="262" t="s">
        <v>310</v>
      </c>
      <c r="K48" s="262" t="s">
        <v>311</v>
      </c>
      <c r="L48" s="262" t="s">
        <v>312</v>
      </c>
      <c r="M48" s="263"/>
      <c r="N48" s="263"/>
      <c r="T48" s="267" t="s">
        <v>313</v>
      </c>
    </row>
    <row r="49" spans="1:23" x14ac:dyDescent="0.25">
      <c r="A49" s="260">
        <v>49</v>
      </c>
      <c r="B49" s="268" t="s">
        <v>314</v>
      </c>
      <c r="C49" s="286" t="s">
        <v>300</v>
      </c>
      <c r="D49" s="286">
        <v>1987</v>
      </c>
      <c r="E49" s="286">
        <v>3</v>
      </c>
      <c r="F49" s="602" t="s">
        <v>315</v>
      </c>
      <c r="G49" s="602"/>
      <c r="H49" s="602"/>
      <c r="I49" s="262" t="s">
        <v>316</v>
      </c>
      <c r="J49" s="262" t="s">
        <v>317</v>
      </c>
      <c r="K49" s="262" t="s">
        <v>318</v>
      </c>
      <c r="L49" s="262" t="s">
        <v>319</v>
      </c>
      <c r="M49" s="263"/>
      <c r="N49" s="263"/>
      <c r="T49" s="267"/>
    </row>
    <row r="50" spans="1:23" x14ac:dyDescent="0.25">
      <c r="A50" s="260">
        <v>50</v>
      </c>
      <c r="B50" s="268" t="s">
        <v>320</v>
      </c>
      <c r="C50" s="286" t="s">
        <v>306</v>
      </c>
      <c r="D50" s="286">
        <v>1987</v>
      </c>
      <c r="E50" s="286"/>
      <c r="F50" s="602" t="s">
        <v>321</v>
      </c>
      <c r="G50" s="602"/>
      <c r="H50" s="602"/>
      <c r="I50" s="262" t="s">
        <v>322</v>
      </c>
      <c r="J50" s="262" t="s">
        <v>323</v>
      </c>
      <c r="K50" s="263"/>
      <c r="L50" s="262" t="s">
        <v>324</v>
      </c>
      <c r="M50" s="263"/>
      <c r="N50" s="263"/>
      <c r="T50" s="267"/>
    </row>
    <row r="51" spans="1:23" x14ac:dyDescent="0.25">
      <c r="A51" s="260">
        <v>51</v>
      </c>
      <c r="B51" s="268" t="s">
        <v>325</v>
      </c>
      <c r="C51" s="286" t="s">
        <v>313</v>
      </c>
      <c r="D51" s="286">
        <v>1986</v>
      </c>
      <c r="E51" s="286"/>
      <c r="F51" s="602" t="s">
        <v>326</v>
      </c>
      <c r="G51" s="602"/>
      <c r="H51" s="602"/>
      <c r="I51" s="262" t="s">
        <v>327</v>
      </c>
      <c r="J51" s="262" t="s">
        <v>328</v>
      </c>
      <c r="K51" s="263"/>
      <c r="L51" s="262" t="s">
        <v>329</v>
      </c>
      <c r="M51" s="263"/>
      <c r="N51" s="263"/>
    </row>
    <row r="52" spans="1:23" x14ac:dyDescent="0.25">
      <c r="A52" s="260">
        <v>52</v>
      </c>
      <c r="B52" s="268" t="s">
        <v>330</v>
      </c>
      <c r="C52" s="286" t="s">
        <v>282</v>
      </c>
      <c r="D52" s="286">
        <v>2016</v>
      </c>
      <c r="E52" s="286"/>
      <c r="F52" s="602" t="s">
        <v>331</v>
      </c>
      <c r="G52" s="602"/>
      <c r="H52" s="602"/>
      <c r="I52" s="262" t="s">
        <v>332</v>
      </c>
      <c r="J52" s="262" t="s">
        <v>333</v>
      </c>
      <c r="K52" s="263"/>
      <c r="L52" s="262" t="s">
        <v>334</v>
      </c>
      <c r="M52" s="263"/>
      <c r="N52" s="263"/>
    </row>
    <row r="53" spans="1:23" x14ac:dyDescent="0.25">
      <c r="A53" s="260">
        <v>53</v>
      </c>
      <c r="B53" s="268"/>
      <c r="C53" s="268"/>
      <c r="D53" s="268"/>
      <c r="E53" s="268"/>
      <c r="F53" s="269"/>
      <c r="G53" s="268"/>
      <c r="H53" s="268"/>
      <c r="I53" s="262"/>
      <c r="J53" s="263"/>
      <c r="K53" s="263"/>
      <c r="L53" s="263"/>
      <c r="M53" s="263"/>
      <c r="N53" s="263"/>
    </row>
    <row r="54" spans="1:23" x14ac:dyDescent="0.25">
      <c r="A54" s="260">
        <v>54</v>
      </c>
      <c r="I54" s="262"/>
      <c r="J54" s="263"/>
      <c r="K54" s="263"/>
      <c r="L54" s="263"/>
      <c r="M54" s="263"/>
      <c r="N54" s="263"/>
    </row>
    <row r="55" spans="1:23" x14ac:dyDescent="0.25">
      <c r="A55" s="260">
        <v>55</v>
      </c>
      <c r="I55" s="262"/>
      <c r="J55" s="263"/>
      <c r="K55" s="263"/>
      <c r="L55" s="263"/>
      <c r="M55" s="263"/>
      <c r="N55" s="263"/>
    </row>
    <row r="56" spans="1:23" x14ac:dyDescent="0.25">
      <c r="A56" s="260">
        <v>56</v>
      </c>
      <c r="B56" s="266" t="s">
        <v>335</v>
      </c>
      <c r="I56" s="262"/>
      <c r="J56" s="263"/>
      <c r="K56" s="263"/>
      <c r="L56" s="263"/>
      <c r="M56" s="263"/>
      <c r="N56" s="263"/>
    </row>
    <row r="57" spans="1:23" x14ac:dyDescent="0.25">
      <c r="A57" s="260">
        <v>57</v>
      </c>
      <c r="I57" s="262"/>
      <c r="J57" s="263"/>
      <c r="K57" s="263"/>
      <c r="L57" s="263"/>
      <c r="M57" s="263"/>
      <c r="N57" s="263"/>
    </row>
    <row r="58" spans="1:23" x14ac:dyDescent="0.25">
      <c r="A58" s="260">
        <v>58</v>
      </c>
      <c r="I58" s="262"/>
      <c r="J58" s="263"/>
      <c r="K58" s="263"/>
      <c r="L58" s="263"/>
      <c r="M58" s="263"/>
      <c r="N58" s="263"/>
    </row>
    <row r="59" spans="1:23" x14ac:dyDescent="0.25">
      <c r="A59" s="260">
        <v>59</v>
      </c>
      <c r="I59" s="262"/>
      <c r="J59" s="263"/>
      <c r="K59" s="263"/>
      <c r="L59" s="263"/>
      <c r="M59" s="263"/>
      <c r="N59" s="263"/>
    </row>
    <row r="60" spans="1:23" x14ac:dyDescent="0.25">
      <c r="A60" s="260">
        <v>60</v>
      </c>
      <c r="I60" s="262"/>
      <c r="J60" s="263"/>
      <c r="K60" s="263"/>
      <c r="L60" s="263"/>
      <c r="M60" s="263"/>
      <c r="N60" s="263"/>
    </row>
    <row r="61" spans="1:23" x14ac:dyDescent="0.25">
      <c r="A61" s="260">
        <v>61</v>
      </c>
      <c r="B61" s="603" t="s">
        <v>336</v>
      </c>
      <c r="C61" s="603"/>
      <c r="D61" s="603"/>
      <c r="E61" s="603"/>
      <c r="F61" s="603"/>
      <c r="G61" s="603"/>
      <c r="H61" s="603"/>
      <c r="I61" s="262"/>
      <c r="J61" s="263"/>
      <c r="K61" s="263"/>
      <c r="L61" s="263"/>
      <c r="M61" s="263"/>
      <c r="N61" s="263"/>
    </row>
    <row r="62" spans="1:23" x14ac:dyDescent="0.25">
      <c r="A62" s="260">
        <v>62</v>
      </c>
      <c r="B62" s="261" t="s">
        <v>337</v>
      </c>
      <c r="C62" s="264" t="s">
        <v>440</v>
      </c>
      <c r="I62" s="263" t="s">
        <v>338</v>
      </c>
      <c r="J62" s="263"/>
      <c r="K62" s="263"/>
      <c r="L62" s="263"/>
      <c r="M62" s="263"/>
      <c r="N62" s="263"/>
      <c r="V62" s="261" t="s">
        <v>339</v>
      </c>
    </row>
    <row r="63" spans="1:23" x14ac:dyDescent="0.25">
      <c r="A63" s="260">
        <v>63</v>
      </c>
      <c r="B63" s="261" t="s">
        <v>88</v>
      </c>
      <c r="C63" s="264">
        <v>5</v>
      </c>
      <c r="I63" s="262" t="s">
        <v>340</v>
      </c>
      <c r="J63" s="263"/>
      <c r="K63" s="263"/>
      <c r="L63" s="263"/>
      <c r="M63" s="263"/>
      <c r="N63" s="263"/>
      <c r="V63" s="261" t="s">
        <v>175</v>
      </c>
      <c r="W63" s="261" t="s">
        <v>341</v>
      </c>
    </row>
    <row r="64" spans="1:23" x14ac:dyDescent="0.25">
      <c r="A64" s="260">
        <v>64</v>
      </c>
      <c r="B64" s="261" t="s">
        <v>342</v>
      </c>
      <c r="C64" s="264">
        <v>1</v>
      </c>
      <c r="I64" s="262" t="s">
        <v>343</v>
      </c>
      <c r="J64" s="263"/>
      <c r="K64" s="263"/>
      <c r="L64" s="263"/>
      <c r="M64" s="263"/>
      <c r="N64" s="263"/>
      <c r="V64" s="261" t="s">
        <v>124</v>
      </c>
      <c r="W64" s="261" t="s">
        <v>344</v>
      </c>
    </row>
    <row r="65" spans="1:23" x14ac:dyDescent="0.25">
      <c r="A65" s="260">
        <v>65</v>
      </c>
      <c r="B65" s="261" t="s">
        <v>345</v>
      </c>
      <c r="C65" s="264">
        <v>0.3</v>
      </c>
      <c r="I65" s="262" t="s">
        <v>346</v>
      </c>
      <c r="J65" s="263"/>
      <c r="K65" s="263"/>
      <c r="L65" s="263"/>
      <c r="M65" s="263"/>
      <c r="N65" s="263"/>
      <c r="V65" s="261" t="s">
        <v>160</v>
      </c>
      <c r="W65" s="261" t="s">
        <v>347</v>
      </c>
    </row>
    <row r="66" spans="1:23" x14ac:dyDescent="0.25">
      <c r="A66" s="260">
        <v>66</v>
      </c>
      <c r="B66" s="261" t="s">
        <v>348</v>
      </c>
      <c r="C66" s="264" t="s">
        <v>160</v>
      </c>
      <c r="D66" s="264" t="str">
        <f>VLOOKUP(C66,V63:W66,2)</f>
        <v>Soft Soil Sites</v>
      </c>
      <c r="I66" s="262" t="s">
        <v>349</v>
      </c>
      <c r="J66" s="262" t="s">
        <v>350</v>
      </c>
      <c r="K66" s="263"/>
      <c r="L66" s="263"/>
      <c r="M66" s="263"/>
      <c r="N66" s="263"/>
      <c r="V66" s="261" t="s">
        <v>144</v>
      </c>
      <c r="W66" s="261" t="s">
        <v>351</v>
      </c>
    </row>
    <row r="67" spans="1:23" x14ac:dyDescent="0.25">
      <c r="A67" s="260">
        <v>67</v>
      </c>
      <c r="B67" s="261" t="s">
        <v>352</v>
      </c>
      <c r="C67" s="264">
        <v>4</v>
      </c>
      <c r="I67" s="262" t="s">
        <v>353</v>
      </c>
      <c r="J67" s="263"/>
      <c r="K67" s="263"/>
      <c r="L67" s="263"/>
      <c r="M67" s="263"/>
      <c r="N67" s="263"/>
    </row>
    <row r="68" spans="1:23" x14ac:dyDescent="0.25">
      <c r="A68" s="260">
        <v>68</v>
      </c>
      <c r="B68" s="261" t="s">
        <v>354</v>
      </c>
      <c r="C68" s="264">
        <v>1.5</v>
      </c>
      <c r="I68" s="263" t="s">
        <v>355</v>
      </c>
      <c r="J68" s="263"/>
      <c r="K68" s="263"/>
      <c r="L68" s="263"/>
      <c r="M68" s="263"/>
      <c r="N68" s="263"/>
    </row>
    <row r="69" spans="1:23" x14ac:dyDescent="0.25">
      <c r="A69" s="260">
        <v>69</v>
      </c>
      <c r="B69" s="261" t="s">
        <v>356</v>
      </c>
      <c r="C69" s="264">
        <v>1.25</v>
      </c>
      <c r="I69" s="262" t="s">
        <v>357</v>
      </c>
      <c r="J69" s="263"/>
      <c r="K69" s="263"/>
      <c r="L69" s="263"/>
      <c r="M69" s="263"/>
      <c r="N69" s="263"/>
    </row>
    <row r="70" spans="1:23" x14ac:dyDescent="0.25">
      <c r="A70" s="260">
        <v>70</v>
      </c>
      <c r="B70" s="261" t="s">
        <v>358</v>
      </c>
      <c r="C70" s="264">
        <v>140</v>
      </c>
      <c r="D70" s="261" t="s">
        <v>359</v>
      </c>
      <c r="I70" s="262" t="s">
        <v>360</v>
      </c>
      <c r="J70" s="263" t="s">
        <v>361</v>
      </c>
      <c r="K70" s="263"/>
      <c r="L70" s="263"/>
      <c r="M70" s="263"/>
      <c r="N70" s="263"/>
    </row>
    <row r="71" spans="1:23" x14ac:dyDescent="0.25">
      <c r="A71" s="260">
        <v>71</v>
      </c>
      <c r="B71" s="261" t="s">
        <v>362</v>
      </c>
      <c r="C71" s="264">
        <v>12.69</v>
      </c>
      <c r="D71" s="261" t="s">
        <v>363</v>
      </c>
      <c r="I71" s="263" t="s">
        <v>364</v>
      </c>
      <c r="J71" s="263" t="s">
        <v>365</v>
      </c>
      <c r="K71" s="263"/>
      <c r="L71" s="263"/>
      <c r="M71" s="263"/>
      <c r="N71" s="263"/>
    </row>
    <row r="72" spans="1:23" x14ac:dyDescent="0.25">
      <c r="A72" s="260">
        <v>72</v>
      </c>
      <c r="B72" s="261" t="s">
        <v>362</v>
      </c>
      <c r="C72" s="264">
        <v>9.5220000000000002</v>
      </c>
      <c r="D72" s="261" t="s">
        <v>363</v>
      </c>
      <c r="I72" s="263" t="s">
        <v>366</v>
      </c>
      <c r="J72" s="263" t="s">
        <v>365</v>
      </c>
      <c r="K72" s="263"/>
      <c r="L72" s="263"/>
      <c r="M72" s="263"/>
      <c r="N72" s="263"/>
    </row>
    <row r="73" spans="1:23" x14ac:dyDescent="0.25">
      <c r="A73" s="260">
        <v>73</v>
      </c>
      <c r="B73" s="261" t="s">
        <v>367</v>
      </c>
      <c r="C73" s="264">
        <v>6.3479999999999999</v>
      </c>
      <c r="D73" s="261" t="s">
        <v>363</v>
      </c>
      <c r="I73" s="263" t="s">
        <v>368</v>
      </c>
      <c r="J73" s="263" t="s">
        <v>365</v>
      </c>
      <c r="K73" s="263"/>
      <c r="L73" s="263"/>
      <c r="M73" s="263"/>
      <c r="N73" s="263"/>
    </row>
    <row r="74" spans="1:23" x14ac:dyDescent="0.25">
      <c r="A74" s="260">
        <v>74</v>
      </c>
      <c r="B74" s="261" t="s">
        <v>74</v>
      </c>
      <c r="C74" s="264">
        <v>2.67</v>
      </c>
      <c r="D74" s="261" t="s">
        <v>359</v>
      </c>
      <c r="I74" s="263" t="s">
        <v>369</v>
      </c>
      <c r="J74" s="263" t="s">
        <v>361</v>
      </c>
      <c r="K74" s="263"/>
      <c r="L74" s="263"/>
      <c r="M74" s="263"/>
      <c r="N74" s="263"/>
    </row>
    <row r="75" spans="1:23" x14ac:dyDescent="0.25">
      <c r="A75" s="260">
        <v>75</v>
      </c>
      <c r="B75" s="261" t="s">
        <v>370</v>
      </c>
      <c r="C75" s="287">
        <v>0.1</v>
      </c>
      <c r="I75" s="262" t="s">
        <v>371</v>
      </c>
      <c r="J75" s="263"/>
      <c r="K75" s="263"/>
      <c r="L75" s="263"/>
      <c r="M75" s="263"/>
      <c r="N75" s="263"/>
    </row>
    <row r="76" spans="1:23" x14ac:dyDescent="0.25">
      <c r="A76" s="260">
        <v>76</v>
      </c>
      <c r="B76" s="261" t="s">
        <v>372</v>
      </c>
      <c r="C76" s="287">
        <v>1</v>
      </c>
      <c r="I76" s="262" t="s">
        <v>373</v>
      </c>
      <c r="J76" s="263"/>
      <c r="K76" s="263"/>
      <c r="L76" s="263"/>
      <c r="M76" s="263"/>
      <c r="N76" s="263"/>
    </row>
    <row r="77" spans="1:23" x14ac:dyDescent="0.25">
      <c r="A77" s="260">
        <v>77</v>
      </c>
      <c r="B77" s="261" t="s">
        <v>374</v>
      </c>
      <c r="C77" s="287">
        <v>2.5</v>
      </c>
      <c r="I77" s="262" t="s">
        <v>375</v>
      </c>
      <c r="J77" s="263"/>
      <c r="K77" s="263"/>
      <c r="L77" s="263"/>
      <c r="M77" s="263"/>
      <c r="N77" s="263"/>
    </row>
    <row r="78" spans="1:23" x14ac:dyDescent="0.25">
      <c r="A78" s="260">
        <v>78</v>
      </c>
      <c r="B78" s="261" t="s">
        <v>376</v>
      </c>
      <c r="C78" s="287">
        <v>1.8</v>
      </c>
      <c r="I78" s="262" t="s">
        <v>377</v>
      </c>
      <c r="J78" s="263"/>
      <c r="K78" s="263"/>
      <c r="L78" s="263"/>
      <c r="M78" s="263"/>
      <c r="N78" s="263"/>
    </row>
    <row r="79" spans="1:23" x14ac:dyDescent="0.25">
      <c r="A79" s="260">
        <v>79</v>
      </c>
      <c r="B79" s="261" t="s">
        <v>519</v>
      </c>
      <c r="C79" s="287">
        <v>11.27</v>
      </c>
      <c r="D79" s="261" t="s">
        <v>443</v>
      </c>
      <c r="I79" s="262" t="s">
        <v>517</v>
      </c>
      <c r="J79" s="263"/>
      <c r="K79" s="263"/>
      <c r="L79" s="263"/>
      <c r="M79" s="263"/>
      <c r="N79" s="263"/>
    </row>
    <row r="80" spans="1:23" x14ac:dyDescent="0.25">
      <c r="A80" s="260">
        <v>80</v>
      </c>
      <c r="B80" s="261" t="s">
        <v>688</v>
      </c>
      <c r="C80" s="287">
        <v>7.62</v>
      </c>
      <c r="D80" s="261" t="s">
        <v>443</v>
      </c>
      <c r="I80" s="262" t="s">
        <v>518</v>
      </c>
      <c r="J80" s="263"/>
      <c r="K80" s="263"/>
      <c r="L80" s="263"/>
      <c r="M80" s="263"/>
      <c r="N80" s="263"/>
    </row>
    <row r="81" spans="1:14" x14ac:dyDescent="0.25">
      <c r="A81" s="260">
        <v>81</v>
      </c>
      <c r="B81" s="261" t="s">
        <v>690</v>
      </c>
      <c r="C81" s="287">
        <v>3.048</v>
      </c>
      <c r="D81" s="261" t="s">
        <v>443</v>
      </c>
      <c r="J81" s="263"/>
      <c r="K81" s="263"/>
      <c r="L81" s="263"/>
      <c r="M81" s="263"/>
      <c r="N81" s="263"/>
    </row>
    <row r="82" spans="1:14" x14ac:dyDescent="0.25">
      <c r="A82" s="260">
        <v>82</v>
      </c>
      <c r="B82" s="261" t="s">
        <v>684</v>
      </c>
      <c r="C82" s="287">
        <v>3</v>
      </c>
      <c r="D82" s="261" t="s">
        <v>443</v>
      </c>
      <c r="I82" s="262" t="s">
        <v>686</v>
      </c>
      <c r="J82" s="263"/>
      <c r="K82" s="263"/>
      <c r="L82" s="263"/>
      <c r="M82" s="263"/>
      <c r="N82" s="263"/>
    </row>
    <row r="83" spans="1:14" x14ac:dyDescent="0.25">
      <c r="A83" s="260">
        <v>83</v>
      </c>
      <c r="B83" s="261" t="s">
        <v>685</v>
      </c>
      <c r="C83" s="287">
        <v>2</v>
      </c>
      <c r="I83" s="262" t="s">
        <v>687</v>
      </c>
      <c r="J83" s="263"/>
      <c r="K83" s="263"/>
      <c r="L83" s="263"/>
      <c r="M83" s="263"/>
      <c r="N83" s="263"/>
    </row>
    <row r="84" spans="1:14" x14ac:dyDescent="0.25">
      <c r="A84" s="260">
        <v>84</v>
      </c>
      <c r="B84" s="261" t="s">
        <v>689</v>
      </c>
      <c r="C84" s="287">
        <v>2</v>
      </c>
      <c r="D84" s="284"/>
      <c r="I84" s="262"/>
      <c r="J84" s="263"/>
      <c r="K84" s="263"/>
      <c r="L84" s="263"/>
      <c r="M84" s="263"/>
      <c r="N84" s="263"/>
    </row>
    <row r="85" spans="1:14" x14ac:dyDescent="0.25">
      <c r="A85" s="260">
        <v>85</v>
      </c>
      <c r="B85" s="261" t="s">
        <v>697</v>
      </c>
      <c r="C85" s="287">
        <v>100</v>
      </c>
      <c r="D85" s="284" t="s">
        <v>698</v>
      </c>
      <c r="I85" s="262"/>
      <c r="J85" s="263"/>
      <c r="K85" s="263"/>
      <c r="L85" s="263"/>
      <c r="M85" s="263"/>
      <c r="N85" s="263"/>
    </row>
    <row r="86" spans="1:14" x14ac:dyDescent="0.25">
      <c r="A86" s="260">
        <v>86</v>
      </c>
      <c r="I86" s="262"/>
      <c r="J86" s="263"/>
      <c r="K86" s="263"/>
      <c r="L86" s="263"/>
      <c r="M86" s="263"/>
      <c r="N86" s="263"/>
    </row>
    <row r="87" spans="1:14" x14ac:dyDescent="0.25">
      <c r="A87" s="260">
        <v>87</v>
      </c>
      <c r="I87" s="262"/>
      <c r="J87" s="263"/>
      <c r="K87" s="263"/>
      <c r="L87" s="263"/>
      <c r="M87" s="263"/>
      <c r="N87" s="263"/>
    </row>
    <row r="88" spans="1:14" x14ac:dyDescent="0.25">
      <c r="A88" s="260">
        <v>88</v>
      </c>
      <c r="I88" s="262"/>
      <c r="J88" s="263"/>
      <c r="K88" s="263"/>
      <c r="L88" s="263"/>
      <c r="M88" s="263"/>
      <c r="N88" s="263"/>
    </row>
    <row r="89" spans="1:14" x14ac:dyDescent="0.25">
      <c r="A89" s="260">
        <v>89</v>
      </c>
      <c r="B89" s="314" t="s">
        <v>516</v>
      </c>
      <c r="I89" s="262"/>
      <c r="J89" s="263"/>
      <c r="K89" s="263"/>
      <c r="L89" s="263"/>
      <c r="M89" s="263"/>
      <c r="N89" s="263"/>
    </row>
    <row r="90" spans="1:14" x14ac:dyDescent="0.25">
      <c r="A90" s="260">
        <v>90</v>
      </c>
      <c r="I90" s="262"/>
      <c r="J90" s="263"/>
      <c r="K90" s="263"/>
      <c r="L90" s="263"/>
      <c r="M90" s="263"/>
      <c r="N90" s="263"/>
    </row>
    <row r="91" spans="1:14" x14ac:dyDescent="0.25">
      <c r="A91" s="260">
        <v>91</v>
      </c>
      <c r="I91" s="262"/>
      <c r="J91" s="263"/>
      <c r="K91" s="263"/>
      <c r="L91" s="263"/>
      <c r="M91" s="263"/>
      <c r="N91" s="263"/>
    </row>
    <row r="92" spans="1:14" x14ac:dyDescent="0.25">
      <c r="A92" s="260">
        <v>92</v>
      </c>
      <c r="I92" s="262"/>
      <c r="J92" s="263"/>
      <c r="K92" s="263"/>
      <c r="L92" s="263"/>
      <c r="M92" s="263"/>
      <c r="N92" s="263"/>
    </row>
    <row r="93" spans="1:14" x14ac:dyDescent="0.25">
      <c r="A93" s="260">
        <v>93</v>
      </c>
      <c r="I93" s="262"/>
      <c r="J93" s="263"/>
      <c r="K93" s="263"/>
      <c r="L93" s="263"/>
      <c r="M93" s="263"/>
      <c r="N93" s="263"/>
    </row>
    <row r="94" spans="1:14" x14ac:dyDescent="0.25">
      <c r="A94" s="260">
        <v>94</v>
      </c>
      <c r="I94" s="262"/>
      <c r="J94" s="263"/>
      <c r="K94" s="263"/>
      <c r="L94" s="263"/>
      <c r="M94" s="263"/>
      <c r="N94" s="263"/>
    </row>
    <row r="95" spans="1:14" x14ac:dyDescent="0.25">
      <c r="A95" s="260">
        <v>95</v>
      </c>
      <c r="I95" s="262"/>
      <c r="J95" s="263"/>
      <c r="K95" s="263"/>
      <c r="L95" s="263"/>
      <c r="M95" s="263"/>
      <c r="N95" s="263"/>
    </row>
    <row r="96" spans="1:14" x14ac:dyDescent="0.25">
      <c r="A96" s="260">
        <v>96</v>
      </c>
      <c r="I96" s="262"/>
      <c r="J96" s="263"/>
      <c r="K96" s="263"/>
      <c r="L96" s="263"/>
      <c r="M96" s="263"/>
      <c r="N96" s="263"/>
    </row>
    <row r="97" spans="1:14" x14ac:dyDescent="0.25">
      <c r="A97" s="260">
        <v>97</v>
      </c>
      <c r="I97" s="262"/>
      <c r="J97" s="263"/>
      <c r="K97" s="263"/>
      <c r="L97" s="263"/>
      <c r="M97" s="263"/>
      <c r="N97" s="263"/>
    </row>
    <row r="98" spans="1:14" x14ac:dyDescent="0.25">
      <c r="A98" s="260">
        <v>98</v>
      </c>
      <c r="I98" s="262"/>
      <c r="J98" s="263"/>
      <c r="K98" s="263"/>
      <c r="L98" s="263"/>
      <c r="M98" s="263"/>
      <c r="N98" s="263"/>
    </row>
    <row r="99" spans="1:14" x14ac:dyDescent="0.25">
      <c r="A99" s="260">
        <v>99</v>
      </c>
      <c r="I99" s="262"/>
      <c r="J99" s="263"/>
      <c r="K99" s="263"/>
      <c r="L99" s="263"/>
      <c r="M99" s="263"/>
      <c r="N99" s="263"/>
    </row>
    <row r="100" spans="1:14" x14ac:dyDescent="0.25">
      <c r="A100" s="260">
        <v>100</v>
      </c>
      <c r="I100" s="262"/>
      <c r="J100" s="263"/>
      <c r="K100" s="263"/>
      <c r="L100" s="263"/>
      <c r="M100" s="263"/>
      <c r="N100" s="263"/>
    </row>
    <row r="101" spans="1:14" x14ac:dyDescent="0.25">
      <c r="A101" s="260">
        <v>101</v>
      </c>
      <c r="I101" s="262"/>
      <c r="J101" s="263"/>
      <c r="K101" s="263"/>
      <c r="L101" s="263"/>
      <c r="M101" s="263"/>
      <c r="N101" s="263"/>
    </row>
    <row r="102" spans="1:14" x14ac:dyDescent="0.25">
      <c r="A102" s="260">
        <v>102</v>
      </c>
      <c r="I102" s="262"/>
      <c r="J102" s="263"/>
      <c r="K102" s="263"/>
      <c r="L102" s="263"/>
      <c r="M102" s="263"/>
      <c r="N102" s="263"/>
    </row>
    <row r="103" spans="1:14" x14ac:dyDescent="0.25">
      <c r="A103" s="260">
        <v>103</v>
      </c>
      <c r="I103" s="262"/>
      <c r="J103" s="263"/>
      <c r="K103" s="263"/>
      <c r="L103" s="263"/>
      <c r="M103" s="263"/>
      <c r="N103" s="263"/>
    </row>
    <row r="104" spans="1:14" x14ac:dyDescent="0.25">
      <c r="A104" s="260">
        <v>104</v>
      </c>
      <c r="I104" s="262"/>
      <c r="J104" s="263"/>
      <c r="K104" s="263"/>
      <c r="L104" s="263"/>
      <c r="M104" s="263"/>
      <c r="N104" s="263"/>
    </row>
    <row r="105" spans="1:14" x14ac:dyDescent="0.25">
      <c r="A105" s="260">
        <v>105</v>
      </c>
      <c r="I105" s="262"/>
      <c r="J105" s="263"/>
      <c r="K105" s="263"/>
      <c r="L105" s="263"/>
      <c r="M105" s="263"/>
      <c r="N105" s="263"/>
    </row>
    <row r="106" spans="1:14" x14ac:dyDescent="0.25">
      <c r="A106" s="260">
        <v>106</v>
      </c>
      <c r="I106" s="262"/>
      <c r="J106" s="263"/>
      <c r="K106" s="263"/>
      <c r="L106" s="263"/>
      <c r="M106" s="263"/>
      <c r="N106" s="263"/>
    </row>
    <row r="107" spans="1:14" x14ac:dyDescent="0.25">
      <c r="A107" s="260">
        <v>107</v>
      </c>
      <c r="I107" s="262"/>
      <c r="J107" s="263"/>
      <c r="K107" s="263"/>
      <c r="L107" s="263"/>
      <c r="M107" s="263"/>
      <c r="N107" s="263"/>
    </row>
    <row r="108" spans="1:14" x14ac:dyDescent="0.25">
      <c r="A108" s="260">
        <v>108</v>
      </c>
      <c r="I108" s="262"/>
      <c r="J108" s="263"/>
      <c r="K108" s="263"/>
      <c r="L108" s="263"/>
      <c r="M108" s="263"/>
      <c r="N108" s="263"/>
    </row>
    <row r="109" spans="1:14" x14ac:dyDescent="0.25">
      <c r="A109" s="260">
        <v>109</v>
      </c>
      <c r="I109" s="262"/>
      <c r="J109" s="263"/>
      <c r="K109" s="263"/>
      <c r="L109" s="263"/>
      <c r="M109" s="263"/>
      <c r="N109" s="263"/>
    </row>
    <row r="110" spans="1:14" x14ac:dyDescent="0.25">
      <c r="A110" s="260">
        <v>110</v>
      </c>
      <c r="I110" s="262"/>
      <c r="J110" s="263"/>
      <c r="K110" s="263"/>
      <c r="L110" s="263"/>
      <c r="M110" s="263"/>
      <c r="N110" s="263"/>
    </row>
    <row r="111" spans="1:14" x14ac:dyDescent="0.25">
      <c r="A111" s="260">
        <v>111</v>
      </c>
      <c r="I111" s="262"/>
      <c r="J111" s="263"/>
      <c r="K111" s="263"/>
      <c r="L111" s="263"/>
      <c r="M111" s="263"/>
      <c r="N111" s="263"/>
    </row>
    <row r="112" spans="1:14" x14ac:dyDescent="0.25">
      <c r="A112" s="260">
        <v>112</v>
      </c>
      <c r="I112" s="262"/>
      <c r="J112" s="263"/>
      <c r="K112" s="263"/>
      <c r="L112" s="263"/>
      <c r="M112" s="263"/>
      <c r="N112" s="263"/>
    </row>
    <row r="113" spans="1:14" x14ac:dyDescent="0.25">
      <c r="A113" s="260">
        <v>113</v>
      </c>
      <c r="I113" s="262"/>
      <c r="J113" s="263"/>
      <c r="K113" s="263"/>
      <c r="L113" s="263"/>
      <c r="M113" s="263"/>
      <c r="N113" s="263"/>
    </row>
    <row r="114" spans="1:14" x14ac:dyDescent="0.25">
      <c r="A114" s="260">
        <v>114</v>
      </c>
      <c r="I114" s="262"/>
      <c r="J114" s="263"/>
      <c r="K114" s="263"/>
      <c r="L114" s="263"/>
      <c r="M114" s="263"/>
      <c r="N114" s="263"/>
    </row>
    <row r="115" spans="1:14" x14ac:dyDescent="0.25">
      <c r="A115" s="260">
        <v>115</v>
      </c>
      <c r="I115" s="262"/>
      <c r="J115" s="263"/>
      <c r="K115" s="263"/>
      <c r="L115" s="263"/>
      <c r="M115" s="263"/>
      <c r="N115" s="263"/>
    </row>
    <row r="116" spans="1:14" x14ac:dyDescent="0.25">
      <c r="A116" s="260">
        <v>116</v>
      </c>
      <c r="B116" s="599"/>
      <c r="I116" s="262"/>
      <c r="J116" s="263"/>
      <c r="K116" s="263"/>
      <c r="L116" s="263"/>
      <c r="M116" s="263"/>
      <c r="N116" s="263"/>
    </row>
    <row r="117" spans="1:14" x14ac:dyDescent="0.25">
      <c r="A117" s="260">
        <v>117</v>
      </c>
      <c r="I117" s="262"/>
      <c r="J117" s="263"/>
      <c r="K117" s="263"/>
      <c r="L117" s="263"/>
      <c r="M117" s="263"/>
      <c r="N117" s="263"/>
    </row>
    <row r="118" spans="1:14" x14ac:dyDescent="0.25">
      <c r="A118" s="260">
        <v>118</v>
      </c>
      <c r="I118" s="262"/>
      <c r="J118" s="263"/>
      <c r="K118" s="263"/>
      <c r="L118" s="263"/>
      <c r="M118" s="263"/>
      <c r="N118" s="263"/>
    </row>
    <row r="119" spans="1:14" x14ac:dyDescent="0.25">
      <c r="A119" s="260">
        <v>119</v>
      </c>
      <c r="I119" s="262"/>
      <c r="J119" s="263"/>
      <c r="K119" s="263"/>
      <c r="L119" s="263"/>
      <c r="M119" s="263"/>
      <c r="N119" s="263"/>
    </row>
    <row r="120" spans="1:14" x14ac:dyDescent="0.25">
      <c r="A120" s="260">
        <v>120</v>
      </c>
      <c r="I120" s="262"/>
      <c r="J120" s="263"/>
      <c r="K120" s="263"/>
      <c r="L120" s="263"/>
      <c r="M120" s="263"/>
      <c r="N120" s="263"/>
    </row>
    <row r="121" spans="1:14" x14ac:dyDescent="0.25">
      <c r="A121" s="260">
        <v>121</v>
      </c>
      <c r="I121" s="262"/>
      <c r="J121" s="263"/>
      <c r="K121" s="263"/>
      <c r="L121" s="263"/>
      <c r="M121" s="263"/>
      <c r="N121" s="263"/>
    </row>
    <row r="122" spans="1:14" x14ac:dyDescent="0.25">
      <c r="A122" s="260">
        <v>122</v>
      </c>
    </row>
    <row r="123" spans="1:14" x14ac:dyDescent="0.25">
      <c r="A123" s="260">
        <v>123</v>
      </c>
    </row>
    <row r="124" spans="1:14" ht="15.75" x14ac:dyDescent="0.25">
      <c r="A124" s="260">
        <v>124</v>
      </c>
      <c r="B124" s="600" t="s">
        <v>693</v>
      </c>
      <c r="C124" s="601" t="s">
        <v>694</v>
      </c>
      <c r="D124" s="601"/>
      <c r="E124" s="601"/>
      <c r="F124" s="601"/>
      <c r="G124" s="601" t="s">
        <v>695</v>
      </c>
      <c r="H124" s="601"/>
    </row>
    <row r="125" spans="1:14" x14ac:dyDescent="0.25">
      <c r="A125" s="260">
        <v>125</v>
      </c>
    </row>
    <row r="126" spans="1:14" x14ac:dyDescent="0.25">
      <c r="A126" s="260">
        <v>126</v>
      </c>
    </row>
    <row r="127" spans="1:14" x14ac:dyDescent="0.25">
      <c r="A127" s="260">
        <v>127</v>
      </c>
    </row>
    <row r="128" spans="1:14" x14ac:dyDescent="0.25">
      <c r="A128" s="260">
        <v>128</v>
      </c>
    </row>
    <row r="129" spans="1:1" x14ac:dyDescent="0.25">
      <c r="A129" s="260">
        <v>129</v>
      </c>
    </row>
    <row r="130" spans="1:1" x14ac:dyDescent="0.25">
      <c r="A130" s="260">
        <v>130</v>
      </c>
    </row>
    <row r="131" spans="1:1" x14ac:dyDescent="0.25">
      <c r="A131" s="260">
        <v>131</v>
      </c>
    </row>
    <row r="132" spans="1:1" x14ac:dyDescent="0.25">
      <c r="A132" s="260">
        <v>132</v>
      </c>
    </row>
    <row r="133" spans="1:1" x14ac:dyDescent="0.25">
      <c r="A133" s="260">
        <v>133</v>
      </c>
    </row>
    <row r="134" spans="1:1" x14ac:dyDescent="0.25">
      <c r="A134" s="260">
        <v>134</v>
      </c>
    </row>
    <row r="135" spans="1:1" x14ac:dyDescent="0.25">
      <c r="A135" s="260">
        <v>135</v>
      </c>
    </row>
    <row r="136" spans="1:1" x14ac:dyDescent="0.25">
      <c r="A136" s="260">
        <v>136</v>
      </c>
    </row>
    <row r="137" spans="1:1" x14ac:dyDescent="0.25">
      <c r="A137" s="260">
        <v>137</v>
      </c>
    </row>
    <row r="138" spans="1:1" x14ac:dyDescent="0.25">
      <c r="A138" s="260">
        <v>138</v>
      </c>
    </row>
    <row r="139" spans="1:1" x14ac:dyDescent="0.25">
      <c r="A139" s="260">
        <v>139</v>
      </c>
    </row>
    <row r="140" spans="1:1" x14ac:dyDescent="0.25">
      <c r="A140" s="260">
        <v>140</v>
      </c>
    </row>
    <row r="141" spans="1:1" x14ac:dyDescent="0.25">
      <c r="A141" s="260">
        <v>141</v>
      </c>
    </row>
    <row r="142" spans="1:1" x14ac:dyDescent="0.25">
      <c r="A142" s="260">
        <v>142</v>
      </c>
    </row>
    <row r="143" spans="1:1" x14ac:dyDescent="0.25">
      <c r="A143" s="260">
        <v>143</v>
      </c>
    </row>
  </sheetData>
  <mergeCells count="34">
    <mergeCell ref="C12:H12"/>
    <mergeCell ref="B1:G1"/>
    <mergeCell ref="D2:G2"/>
    <mergeCell ref="D3:G3"/>
    <mergeCell ref="D4:G4"/>
    <mergeCell ref="B6:H6"/>
    <mergeCell ref="C7:H7"/>
    <mergeCell ref="B8:B10"/>
    <mergeCell ref="D8:H8"/>
    <mergeCell ref="D9:H9"/>
    <mergeCell ref="D10:H10"/>
    <mergeCell ref="C11:H11"/>
    <mergeCell ref="C13:H13"/>
    <mergeCell ref="C15:H15"/>
    <mergeCell ref="B21:H21"/>
    <mergeCell ref="C22:H22"/>
    <mergeCell ref="B23:B25"/>
    <mergeCell ref="D23:H23"/>
    <mergeCell ref="D24:H24"/>
    <mergeCell ref="D25:H25"/>
    <mergeCell ref="B31:H31"/>
    <mergeCell ref="C34:H34"/>
    <mergeCell ref="C35:H35"/>
    <mergeCell ref="B41:H41"/>
    <mergeCell ref="F44:H44"/>
    <mergeCell ref="F51:H51"/>
    <mergeCell ref="F52:H52"/>
    <mergeCell ref="B61:H61"/>
    <mergeCell ref="F45:H45"/>
    <mergeCell ref="F46:H46"/>
    <mergeCell ref="F47:H47"/>
    <mergeCell ref="F48:H48"/>
    <mergeCell ref="F49:H49"/>
    <mergeCell ref="F50:H50"/>
  </mergeCells>
  <dataValidations disablePrompts="1" count="7">
    <dataValidation type="list" allowBlank="1" showInputMessage="1" showErrorMessage="1" sqref="D32" xr:uid="{00000000-0002-0000-0100-000000000000}">
      <formula1>"RESIDENTIAL BUILDING, COMMERCIAL BUILDING, INDUSTRIAL BUILDING, PUBLIC BUILDING"</formula1>
    </dataValidation>
    <dataValidation type="list" allowBlank="1" showInputMessage="1" showErrorMessage="1" sqref="C66" xr:uid="{00000000-0002-0000-0100-000001000000}">
      <formula1>$V$63:$V$66</formula1>
    </dataValidation>
    <dataValidation type="list" allowBlank="1" showInputMessage="1" showErrorMessage="1" sqref="C45:C52" xr:uid="{00000000-0002-0000-0100-000002000000}">
      <formula1>$T$42:$T$50</formula1>
    </dataValidation>
    <dataValidation type="list" allowBlank="1" showInputMessage="1" showErrorMessage="1" sqref="C35:H35" xr:uid="{00000000-0002-0000-0100-000003000000}">
      <formula1>$T$32:$T$36</formula1>
    </dataValidation>
    <dataValidation type="list" allowBlank="1" showInputMessage="1" showErrorMessage="1" sqref="C42" xr:uid="{00000000-0002-0000-0100-000004000000}">
      <formula1>"IS, NBC, BOTH"</formula1>
    </dataValidation>
    <dataValidation type="list" allowBlank="1" showInputMessage="1" showErrorMessage="1" sqref="C33" xr:uid="{00000000-0002-0000-0100-000005000000}">
      <formula1>"Moment Resisting Frame Systems, Braced Frame Systems, Structural Wall Systems, Dual Systems"</formula1>
    </dataValidation>
    <dataValidation type="list" allowBlank="1" showInputMessage="1" showErrorMessage="1" sqref="C32" xr:uid="{00000000-0002-0000-0100-000006000000}">
      <formula1>"Residential Building, Commercial Building, Industrial Building, Public Building"</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33855" r:id="rId4" name="drifts_all">
          <controlPr defaultSize="0" autoLine="0" r:id="rId5">
            <anchor moveWithCells="1">
              <from>
                <xdr:col>5</xdr:col>
                <xdr:colOff>561975</xdr:colOff>
                <xdr:row>117</xdr:row>
                <xdr:rowOff>95250</xdr:rowOff>
              </from>
              <to>
                <xdr:col>7</xdr:col>
                <xdr:colOff>1828800</xdr:colOff>
                <xdr:row>118</xdr:row>
                <xdr:rowOff>133350</xdr:rowOff>
              </to>
            </anchor>
          </controlPr>
        </control>
      </mc:Choice>
      <mc:Fallback>
        <control shapeId="33855" r:id="rId4" name="drifts_all"/>
      </mc:Fallback>
    </mc:AlternateContent>
    <mc:AlternateContent xmlns:mc="http://schemas.openxmlformats.org/markup-compatibility/2006">
      <mc:Choice Requires="x14">
        <control shapeId="33854" r:id="rId6" name="drifts_eq">
          <controlPr defaultSize="0" autoLine="0" r:id="rId7">
            <anchor moveWithCells="1">
              <from>
                <xdr:col>2</xdr:col>
                <xdr:colOff>561975</xdr:colOff>
                <xdr:row>117</xdr:row>
                <xdr:rowOff>95250</xdr:rowOff>
              </from>
              <to>
                <xdr:col>5</xdr:col>
                <xdr:colOff>200025</xdr:colOff>
                <xdr:row>118</xdr:row>
                <xdr:rowOff>133350</xdr:rowOff>
              </to>
            </anchor>
          </controlPr>
        </control>
      </mc:Choice>
      <mc:Fallback>
        <control shapeId="33854" r:id="rId6" name="drifts_eq"/>
      </mc:Fallback>
    </mc:AlternateContent>
    <mc:AlternateContent xmlns:mc="http://schemas.openxmlformats.org/markup-compatibility/2006">
      <mc:Choice Requires="x14">
        <control shapeId="33853" r:id="rId8" name="story_drifts">
          <controlPr defaultSize="0" autoLine="0" altText="Reinforcement Demand" r:id="rId9">
            <anchor moveWithCells="1" sizeWithCells="1">
              <from>
                <xdr:col>1</xdr:col>
                <xdr:colOff>571500</xdr:colOff>
                <xdr:row>117</xdr:row>
                <xdr:rowOff>85725</xdr:rowOff>
              </from>
              <to>
                <xdr:col>1</xdr:col>
                <xdr:colOff>3038475</xdr:colOff>
                <xdr:row>118</xdr:row>
                <xdr:rowOff>152400</xdr:rowOff>
              </to>
            </anchor>
          </controlPr>
        </control>
      </mc:Choice>
      <mc:Fallback>
        <control shapeId="33853" r:id="rId8" name="story_drifts"/>
      </mc:Fallback>
    </mc:AlternateContent>
    <mc:AlternateContent xmlns:mc="http://schemas.openxmlformats.org/markup-compatibility/2006">
      <mc:Choice Requires="x14">
        <control shapeId="33852" r:id="rId10" name="story_drift_plot_ss">
          <controlPr defaultSize="0" autoLine="0" altText="Reinforcement Demand" r:id="rId11">
            <anchor>
              <from>
                <xdr:col>2</xdr:col>
                <xdr:colOff>1047750</xdr:colOff>
                <xdr:row>90</xdr:row>
                <xdr:rowOff>161925</xdr:rowOff>
              </from>
              <to>
                <xdr:col>7</xdr:col>
                <xdr:colOff>161925</xdr:colOff>
                <xdr:row>92</xdr:row>
                <xdr:rowOff>38100</xdr:rowOff>
              </to>
            </anchor>
          </controlPr>
        </control>
      </mc:Choice>
      <mc:Fallback>
        <control shapeId="33852" r:id="rId10" name="story_drift_plot_ss"/>
      </mc:Fallback>
    </mc:AlternateContent>
    <mc:AlternateContent xmlns:mc="http://schemas.openxmlformats.org/markup-compatibility/2006">
      <mc:Choice Requires="x14">
        <control shapeId="33851" r:id="rId12" name="Max_Avg_All">
          <controlPr defaultSize="0" autoLine="0" r:id="rId13">
            <anchor moveWithCells="1">
              <from>
                <xdr:col>5</xdr:col>
                <xdr:colOff>561975</xdr:colOff>
                <xdr:row>111</xdr:row>
                <xdr:rowOff>95250</xdr:rowOff>
              </from>
              <to>
                <xdr:col>7</xdr:col>
                <xdr:colOff>1828800</xdr:colOff>
                <xdr:row>112</xdr:row>
                <xdr:rowOff>133350</xdr:rowOff>
              </to>
            </anchor>
          </controlPr>
        </control>
      </mc:Choice>
      <mc:Fallback>
        <control shapeId="33851" r:id="rId12" name="Max_Avg_All"/>
      </mc:Fallback>
    </mc:AlternateContent>
    <mc:AlternateContent xmlns:mc="http://schemas.openxmlformats.org/markup-compatibility/2006">
      <mc:Choice Requires="x14">
        <control shapeId="33850" r:id="rId14" name="max_avg_eq">
          <controlPr defaultSize="0" autoLine="0" r:id="rId15">
            <anchor moveWithCells="1">
              <from>
                <xdr:col>2</xdr:col>
                <xdr:colOff>561975</xdr:colOff>
                <xdr:row>111</xdr:row>
                <xdr:rowOff>95250</xdr:rowOff>
              </from>
              <to>
                <xdr:col>5</xdr:col>
                <xdr:colOff>200025</xdr:colOff>
                <xdr:row>112</xdr:row>
                <xdr:rowOff>133350</xdr:rowOff>
              </to>
            </anchor>
          </controlPr>
        </control>
      </mc:Choice>
      <mc:Fallback>
        <control shapeId="33850" r:id="rId14" name="max_avg_eq"/>
      </mc:Fallback>
    </mc:AlternateContent>
    <mc:AlternateContent xmlns:mc="http://schemas.openxmlformats.org/markup-compatibility/2006">
      <mc:Choice Requires="x14">
        <control shapeId="33840" r:id="rId16" name="story_deflection_plot_ss">
          <controlPr defaultSize="0" autoLine="0" altText="Reinforcement Demand" r:id="rId17">
            <anchor>
              <from>
                <xdr:col>2</xdr:col>
                <xdr:colOff>1047750</xdr:colOff>
                <xdr:row>88</xdr:row>
                <xdr:rowOff>161925</xdr:rowOff>
              </from>
              <to>
                <xdr:col>7</xdr:col>
                <xdr:colOff>161925</xdr:colOff>
                <xdr:row>90</xdr:row>
                <xdr:rowOff>38100</xdr:rowOff>
              </to>
            </anchor>
          </controlPr>
        </control>
      </mc:Choice>
      <mc:Fallback>
        <control shapeId="33840" r:id="rId16" name="story_deflection_plot_ss"/>
      </mc:Fallback>
    </mc:AlternateContent>
    <mc:AlternateContent xmlns:mc="http://schemas.openxmlformats.org/markup-compatibility/2006">
      <mc:Choice Requires="x14">
        <control shapeId="33837" r:id="rId18" name="nbc_is_combined">
          <controlPr defaultSize="0" autoLine="0" r:id="rId19">
            <anchor moveWithCells="1">
              <from>
                <xdr:col>5</xdr:col>
                <xdr:colOff>561975</xdr:colOff>
                <xdr:row>113</xdr:row>
                <xdr:rowOff>95250</xdr:rowOff>
              </from>
              <to>
                <xdr:col>7</xdr:col>
                <xdr:colOff>1828800</xdr:colOff>
                <xdr:row>114</xdr:row>
                <xdr:rowOff>133350</xdr:rowOff>
              </to>
            </anchor>
          </controlPr>
        </control>
      </mc:Choice>
      <mc:Fallback>
        <control shapeId="33837" r:id="rId18" name="nbc_is_combined"/>
      </mc:Fallback>
    </mc:AlternateContent>
    <mc:AlternateContent xmlns:mc="http://schemas.openxmlformats.org/markup-compatibility/2006">
      <mc:Choice Requires="x14">
        <control shapeId="33835" r:id="rId20" name="is_code">
          <controlPr defaultSize="0" autoLine="0" r:id="rId21">
            <anchor moveWithCells="1">
              <from>
                <xdr:col>2</xdr:col>
                <xdr:colOff>561975</xdr:colOff>
                <xdr:row>113</xdr:row>
                <xdr:rowOff>95250</xdr:rowOff>
              </from>
              <to>
                <xdr:col>5</xdr:col>
                <xdr:colOff>200025</xdr:colOff>
                <xdr:row>114</xdr:row>
                <xdr:rowOff>133350</xdr:rowOff>
              </to>
            </anchor>
          </controlPr>
        </control>
      </mc:Choice>
      <mc:Fallback>
        <control shapeId="33835" r:id="rId20" name="is_code"/>
      </mc:Fallback>
    </mc:AlternateContent>
    <mc:AlternateContent xmlns:mc="http://schemas.openxmlformats.org/markup-compatibility/2006">
      <mc:Choice Requires="x14">
        <control shapeId="33834" r:id="rId22" name="nbc_code">
          <controlPr defaultSize="0" autoLine="0" r:id="rId23">
            <anchor moveWithCells="1">
              <from>
                <xdr:col>1</xdr:col>
                <xdr:colOff>561975</xdr:colOff>
                <xdr:row>113</xdr:row>
                <xdr:rowOff>95250</xdr:rowOff>
              </from>
              <to>
                <xdr:col>2</xdr:col>
                <xdr:colOff>0</xdr:colOff>
                <xdr:row>114</xdr:row>
                <xdr:rowOff>133350</xdr:rowOff>
              </to>
            </anchor>
          </controlPr>
        </control>
      </mc:Choice>
      <mc:Fallback>
        <control shapeId="33834" r:id="rId22" name="nbc_code"/>
      </mc:Fallback>
    </mc:AlternateContent>
    <mc:AlternateContent xmlns:mc="http://schemas.openxmlformats.org/markup-compatibility/2006">
      <mc:Choice Requires="x14">
        <control shapeId="33829" r:id="rId24" name="diaphragm_max_avg">
          <controlPr defaultSize="0" autoLine="0" altText="Reinforcement Demand" r:id="rId25">
            <anchor moveWithCells="1" sizeWithCells="1">
              <from>
                <xdr:col>1</xdr:col>
                <xdr:colOff>571500</xdr:colOff>
                <xdr:row>111</xdr:row>
                <xdr:rowOff>85725</xdr:rowOff>
              </from>
              <to>
                <xdr:col>1</xdr:col>
                <xdr:colOff>3038475</xdr:colOff>
                <xdr:row>112</xdr:row>
                <xdr:rowOff>152400</xdr:rowOff>
              </to>
            </anchor>
          </controlPr>
        </control>
      </mc:Choice>
      <mc:Fallback>
        <control shapeId="33829" r:id="rId24" name="diaphragm_max_avg"/>
      </mc:Fallback>
    </mc:AlternateContent>
    <mc:AlternateContent xmlns:mc="http://schemas.openxmlformats.org/markup-compatibility/2006">
      <mc:Choice Requires="x14">
        <control shapeId="33807" r:id="rId26" name="story_deflection_plot">
          <controlPr defaultSize="0" autoLine="0" altText="Reinforcement Demand" r:id="rId27">
            <anchor>
              <from>
                <xdr:col>1</xdr:col>
                <xdr:colOff>571500</xdr:colOff>
                <xdr:row>89</xdr:row>
                <xdr:rowOff>28575</xdr:rowOff>
              </from>
              <to>
                <xdr:col>1</xdr:col>
                <xdr:colOff>3038475</xdr:colOff>
                <xdr:row>90</xdr:row>
                <xdr:rowOff>95250</xdr:rowOff>
              </to>
            </anchor>
          </controlPr>
        </control>
      </mc:Choice>
      <mc:Fallback>
        <control shapeId="33807" r:id="rId26" name="story_deflection_plot"/>
      </mc:Fallback>
    </mc:AlternateContent>
    <mc:AlternateContent xmlns:mc="http://schemas.openxmlformats.org/markup-compatibility/2006">
      <mc:Choice Requires="x14">
        <control shapeId="33819" r:id="rId28" name="story_drift_plot">
          <controlPr defaultSize="0" autoLine="0" altText="Reinforcement Demand" r:id="rId29">
            <anchor>
              <from>
                <xdr:col>1</xdr:col>
                <xdr:colOff>571500</xdr:colOff>
                <xdr:row>91</xdr:row>
                <xdr:rowOff>28575</xdr:rowOff>
              </from>
              <to>
                <xdr:col>1</xdr:col>
                <xdr:colOff>3038475</xdr:colOff>
                <xdr:row>92</xdr:row>
                <xdr:rowOff>95250</xdr:rowOff>
              </to>
            </anchor>
          </controlPr>
        </control>
      </mc:Choice>
      <mc:Fallback>
        <control shapeId="33819" r:id="rId28" name="story_drift_plot"/>
      </mc:Fallback>
    </mc:AlternateContent>
    <mc:AlternateContent xmlns:mc="http://schemas.openxmlformats.org/markup-compatibility/2006">
      <mc:Choice Requires="x14">
        <control shapeId="33820" r:id="rId30" name="all_reinforcement_demand">
          <controlPr defaultSize="0" autoLine="0" altText="Reinforcement Demand" r:id="rId31">
            <anchor>
              <from>
                <xdr:col>1</xdr:col>
                <xdr:colOff>571500</xdr:colOff>
                <xdr:row>93</xdr:row>
                <xdr:rowOff>28575</xdr:rowOff>
              </from>
              <to>
                <xdr:col>1</xdr:col>
                <xdr:colOff>3038475</xdr:colOff>
                <xdr:row>94</xdr:row>
                <xdr:rowOff>95250</xdr:rowOff>
              </to>
            </anchor>
          </controlPr>
        </control>
      </mc:Choice>
      <mc:Fallback>
        <control shapeId="33820" r:id="rId30" name="all_reinforcement_demand"/>
      </mc:Fallback>
    </mc:AlternateContent>
    <mc:AlternateContent xmlns:mc="http://schemas.openxmlformats.org/markup-compatibility/2006">
      <mc:Choice Requires="x14">
        <control shapeId="33821" r:id="rId32" name="column_design_etabs">
          <controlPr defaultSize="0" autoLine="0" altText="Reinforcement Demand" r:id="rId33">
            <anchor>
              <from>
                <xdr:col>1</xdr:col>
                <xdr:colOff>571500</xdr:colOff>
                <xdr:row>95</xdr:row>
                <xdr:rowOff>28575</xdr:rowOff>
              </from>
              <to>
                <xdr:col>1</xdr:col>
                <xdr:colOff>3038475</xdr:colOff>
                <xdr:row>96</xdr:row>
                <xdr:rowOff>95250</xdr:rowOff>
              </to>
            </anchor>
          </controlPr>
        </control>
      </mc:Choice>
      <mc:Fallback>
        <control shapeId="33821" r:id="rId32" name="column_design_etabs"/>
      </mc:Fallback>
    </mc:AlternateContent>
    <mc:AlternateContent xmlns:mc="http://schemas.openxmlformats.org/markup-compatibility/2006">
      <mc:Choice Requires="x14">
        <control shapeId="33822" r:id="rId34" name="column_design_excel">
          <controlPr defaultSize="0" autoLine="0" altText="Reinforcement Demand" r:id="rId35">
            <anchor>
              <from>
                <xdr:col>1</xdr:col>
                <xdr:colOff>571500</xdr:colOff>
                <xdr:row>97</xdr:row>
                <xdr:rowOff>28575</xdr:rowOff>
              </from>
              <to>
                <xdr:col>1</xdr:col>
                <xdr:colOff>3038475</xdr:colOff>
                <xdr:row>98</xdr:row>
                <xdr:rowOff>95250</xdr:rowOff>
              </to>
            </anchor>
          </controlPr>
        </control>
      </mc:Choice>
      <mc:Fallback>
        <control shapeId="33822" r:id="rId34" name="column_design_excel"/>
      </mc:Fallback>
    </mc:AlternateContent>
    <mc:AlternateContent xmlns:mc="http://schemas.openxmlformats.org/markup-compatibility/2006">
      <mc:Choice Requires="x14">
        <control shapeId="33823" r:id="rId36" name="beam_design_etabs">
          <controlPr defaultSize="0" autoLine="0" altText="Reinforcement Demand" r:id="rId37">
            <anchor>
              <from>
                <xdr:col>1</xdr:col>
                <xdr:colOff>571500</xdr:colOff>
                <xdr:row>99</xdr:row>
                <xdr:rowOff>28575</xdr:rowOff>
              </from>
              <to>
                <xdr:col>1</xdr:col>
                <xdr:colOff>3038475</xdr:colOff>
                <xdr:row>100</xdr:row>
                <xdr:rowOff>95250</xdr:rowOff>
              </to>
            </anchor>
          </controlPr>
        </control>
      </mc:Choice>
      <mc:Fallback>
        <control shapeId="33823" r:id="rId36" name="beam_design_etabs"/>
      </mc:Fallback>
    </mc:AlternateContent>
    <mc:AlternateContent xmlns:mc="http://schemas.openxmlformats.org/markup-compatibility/2006">
      <mc:Choice Requires="x14">
        <control shapeId="33824" r:id="rId38" name="beam_design_excel">
          <controlPr defaultSize="0" autoLine="0" altText="Reinforcement Demand" r:id="rId39">
            <anchor>
              <from>
                <xdr:col>1</xdr:col>
                <xdr:colOff>571500</xdr:colOff>
                <xdr:row>101</xdr:row>
                <xdr:rowOff>28575</xdr:rowOff>
              </from>
              <to>
                <xdr:col>1</xdr:col>
                <xdr:colOff>3038475</xdr:colOff>
                <xdr:row>102</xdr:row>
                <xdr:rowOff>95250</xdr:rowOff>
              </to>
            </anchor>
          </controlPr>
        </control>
      </mc:Choice>
      <mc:Fallback>
        <control shapeId="33824" r:id="rId38" name="beam_design_excel"/>
      </mc:Fallback>
    </mc:AlternateContent>
    <mc:AlternateContent xmlns:mc="http://schemas.openxmlformats.org/markup-compatibility/2006">
      <mc:Choice Requires="x14">
        <control shapeId="33825" r:id="rId40" name="footing_loads">
          <controlPr defaultSize="0" autoLine="0" altText="Reinforcement Demand" r:id="rId41">
            <anchor>
              <from>
                <xdr:col>1</xdr:col>
                <xdr:colOff>571500</xdr:colOff>
                <xdr:row>103</xdr:row>
                <xdr:rowOff>28575</xdr:rowOff>
              </from>
              <to>
                <xdr:col>1</xdr:col>
                <xdr:colOff>3038475</xdr:colOff>
                <xdr:row>104</xdr:row>
                <xdr:rowOff>95250</xdr:rowOff>
              </to>
            </anchor>
          </controlPr>
        </control>
      </mc:Choice>
      <mc:Fallback>
        <control shapeId="33825" r:id="rId40" name="footing_loads"/>
      </mc:Fallback>
    </mc:AlternateContent>
    <mc:AlternateContent xmlns:mc="http://schemas.openxmlformats.org/markup-compatibility/2006">
      <mc:Choice Requires="x14">
        <control shapeId="33826" r:id="rId42" name="isolated_footing_excel">
          <controlPr defaultSize="0" autoLine="0" altText="Reinforcement Demand" r:id="rId43">
            <anchor>
              <from>
                <xdr:col>1</xdr:col>
                <xdr:colOff>571500</xdr:colOff>
                <xdr:row>105</xdr:row>
                <xdr:rowOff>28575</xdr:rowOff>
              </from>
              <to>
                <xdr:col>1</xdr:col>
                <xdr:colOff>3038475</xdr:colOff>
                <xdr:row>106</xdr:row>
                <xdr:rowOff>95250</xdr:rowOff>
              </to>
            </anchor>
          </controlPr>
        </control>
      </mc:Choice>
      <mc:Fallback>
        <control shapeId="33826" r:id="rId42" name="isolated_footing_excel"/>
      </mc:Fallback>
    </mc:AlternateContent>
    <mc:AlternateContent xmlns:mc="http://schemas.openxmlformats.org/markup-compatibility/2006">
      <mc:Choice Requires="x14">
        <control shapeId="33827" r:id="rId44" name="eccentric_footing_excel">
          <controlPr defaultSize="0" autoLine="0" altText="Reinforcement Demand" r:id="rId45">
            <anchor>
              <from>
                <xdr:col>1</xdr:col>
                <xdr:colOff>571500</xdr:colOff>
                <xdr:row>107</xdr:row>
                <xdr:rowOff>28575</xdr:rowOff>
              </from>
              <to>
                <xdr:col>1</xdr:col>
                <xdr:colOff>3038475</xdr:colOff>
                <xdr:row>108</xdr:row>
                <xdr:rowOff>95250</xdr:rowOff>
              </to>
            </anchor>
          </controlPr>
        </control>
      </mc:Choice>
      <mc:Fallback>
        <control shapeId="33827" r:id="rId44" name="eccentric_footing_excel"/>
      </mc:Fallback>
    </mc:AlternateContent>
    <mc:AlternateContent xmlns:mc="http://schemas.openxmlformats.org/markup-compatibility/2006">
      <mc:Choice Requires="x14">
        <control shapeId="33828" r:id="rId46" name="modal_mass_excel">
          <controlPr defaultSize="0" autoLine="0" altText="Reinforcement Demand" r:id="rId47">
            <anchor>
              <from>
                <xdr:col>1</xdr:col>
                <xdr:colOff>571500</xdr:colOff>
                <xdr:row>109</xdr:row>
                <xdr:rowOff>28575</xdr:rowOff>
              </from>
              <to>
                <xdr:col>1</xdr:col>
                <xdr:colOff>3038475</xdr:colOff>
                <xdr:row>110</xdr:row>
                <xdr:rowOff>95250</xdr:rowOff>
              </to>
            </anchor>
          </controlPr>
        </control>
      </mc:Choice>
      <mc:Fallback>
        <control shapeId="33828" r:id="rId46" name="modal_mass_excel"/>
      </mc:Fallback>
    </mc:AlternateContent>
    <mc:AlternateContent xmlns:mc="http://schemas.openxmlformats.org/markup-compatibility/2006">
      <mc:Choice Requires="x14">
        <control shapeId="33847" r:id="rId48" name="quick_mode">
          <controlPr defaultSize="0" autoLine="0" r:id="rId49">
            <anchor moveWithCells="1">
              <from>
                <xdr:col>1</xdr:col>
                <xdr:colOff>561975</xdr:colOff>
                <xdr:row>115</xdr:row>
                <xdr:rowOff>95250</xdr:rowOff>
              </from>
              <to>
                <xdr:col>2</xdr:col>
                <xdr:colOff>0</xdr:colOff>
                <xdr:row>116</xdr:row>
                <xdr:rowOff>133350</xdr:rowOff>
              </to>
            </anchor>
          </controlPr>
        </control>
      </mc:Choice>
      <mc:Fallback>
        <control shapeId="33847" r:id="rId48" name="quick_mode"/>
      </mc:Fallback>
    </mc:AlternateContent>
    <mc:AlternateContent xmlns:mc="http://schemas.openxmlformats.org/markup-compatibility/2006">
      <mc:Choice Requires="x14">
        <control shapeId="33848" r:id="rId50" name="graphics_mode">
          <controlPr defaultSize="0" autoLine="0" r:id="rId51">
            <anchor moveWithCells="1">
              <from>
                <xdr:col>2</xdr:col>
                <xdr:colOff>561975</xdr:colOff>
                <xdr:row>115</xdr:row>
                <xdr:rowOff>95250</xdr:rowOff>
              </from>
              <to>
                <xdr:col>5</xdr:col>
                <xdr:colOff>200025</xdr:colOff>
                <xdr:row>116</xdr:row>
                <xdr:rowOff>133350</xdr:rowOff>
              </to>
            </anchor>
          </controlPr>
        </control>
      </mc:Choice>
      <mc:Fallback>
        <control shapeId="33848" r:id="rId50" name="graphics_mode"/>
      </mc:Fallback>
    </mc:AlternateContent>
    <mc:AlternateContent xmlns:mc="http://schemas.openxmlformats.org/markup-compatibility/2006">
      <mc:Choice Requires="x14">
        <control shapeId="33860" r:id="rId52" name="data_writer">
          <controlPr defaultSize="0" autoLine="0" autoPict="0" altText="Reinforcement Demand" r:id="rId53">
            <anchor moveWithCells="1" sizeWithCells="1">
              <from>
                <xdr:col>5</xdr:col>
                <xdr:colOff>571500</xdr:colOff>
                <xdr:row>124</xdr:row>
                <xdr:rowOff>85725</xdr:rowOff>
              </from>
              <to>
                <xdr:col>7</xdr:col>
                <xdr:colOff>1895475</xdr:colOff>
                <xdr:row>125</xdr:row>
                <xdr:rowOff>152400</xdr:rowOff>
              </to>
            </anchor>
          </controlPr>
        </control>
      </mc:Choice>
      <mc:Fallback>
        <control shapeId="33860" r:id="rId52" name="data_writer"/>
      </mc:Fallback>
    </mc:AlternateContent>
    <mc:AlternateContent xmlns:mc="http://schemas.openxmlformats.org/markup-compatibility/2006">
      <mc:Choice Requires="x14">
        <control shapeId="33927" r:id="rId54" name="general_images">
          <controlPr defaultSize="0" autoLine="0" altText="Reinforcement Demand" r:id="rId55">
            <anchor moveWithCells="1" sizeWithCells="1">
              <from>
                <xdr:col>1</xdr:col>
                <xdr:colOff>228600</xdr:colOff>
                <xdr:row>124</xdr:row>
                <xdr:rowOff>85725</xdr:rowOff>
              </from>
              <to>
                <xdr:col>1</xdr:col>
                <xdr:colOff>2771775</xdr:colOff>
                <xdr:row>125</xdr:row>
                <xdr:rowOff>152400</xdr:rowOff>
              </to>
            </anchor>
          </controlPr>
        </control>
      </mc:Choice>
      <mc:Fallback>
        <control shapeId="33927" r:id="rId54" name="general_images"/>
      </mc:Fallback>
    </mc:AlternateContent>
    <mc:AlternateContent xmlns:mc="http://schemas.openxmlformats.org/markup-compatibility/2006">
      <mc:Choice Requires="x14">
        <control shapeId="33928" r:id="rId56" name="stresses_diagrams">
          <controlPr defaultSize="0" autoLine="0" altText="Reinforcement Demand" r:id="rId57">
            <anchor moveWithCells="1" sizeWithCells="1">
              <from>
                <xdr:col>1</xdr:col>
                <xdr:colOff>228600</xdr:colOff>
                <xdr:row>126</xdr:row>
                <xdr:rowOff>85725</xdr:rowOff>
              </from>
              <to>
                <xdr:col>1</xdr:col>
                <xdr:colOff>2771775</xdr:colOff>
                <xdr:row>127</xdr:row>
                <xdr:rowOff>152400</xdr:rowOff>
              </to>
            </anchor>
          </controlPr>
        </control>
      </mc:Choice>
      <mc:Fallback>
        <control shapeId="33928" r:id="rId56" name="stresses_diagrams"/>
      </mc:Fallback>
    </mc:AlternateContent>
    <mc:AlternateContent xmlns:mc="http://schemas.openxmlformats.org/markup-compatibility/2006">
      <mc:Choice Requires="x14">
        <control shapeId="33929" r:id="rId58" name="forces_diagrams">
          <controlPr defaultSize="0" autoLine="0" altText="Reinforcement Demand" r:id="rId59">
            <anchor moveWithCells="1" sizeWithCells="1">
              <from>
                <xdr:col>1</xdr:col>
                <xdr:colOff>228600</xdr:colOff>
                <xdr:row>128</xdr:row>
                <xdr:rowOff>85725</xdr:rowOff>
              </from>
              <to>
                <xdr:col>1</xdr:col>
                <xdr:colOff>2771775</xdr:colOff>
                <xdr:row>129</xdr:row>
                <xdr:rowOff>152400</xdr:rowOff>
              </to>
            </anchor>
          </controlPr>
        </control>
      </mc:Choice>
      <mc:Fallback>
        <control shapeId="33929" r:id="rId58" name="forces_diagrams"/>
      </mc:Fallback>
    </mc:AlternateContent>
    <mc:AlternateContent xmlns:mc="http://schemas.openxmlformats.org/markup-compatibility/2006">
      <mc:Choice Requires="x14">
        <control shapeId="33930" r:id="rId60" name="design_details">
          <controlPr defaultSize="0" autoLine="0" altText="Reinforcement Demand" r:id="rId61">
            <anchor moveWithCells="1" sizeWithCells="1">
              <from>
                <xdr:col>1</xdr:col>
                <xdr:colOff>228600</xdr:colOff>
                <xdr:row>130</xdr:row>
                <xdr:rowOff>85725</xdr:rowOff>
              </from>
              <to>
                <xdr:col>1</xdr:col>
                <xdr:colOff>2771775</xdr:colOff>
                <xdr:row>131</xdr:row>
                <xdr:rowOff>152400</xdr:rowOff>
              </to>
            </anchor>
          </controlPr>
        </control>
      </mc:Choice>
      <mc:Fallback>
        <control shapeId="33930" r:id="rId60" name="design_details"/>
      </mc:Fallback>
    </mc:AlternateContent>
    <mc:AlternateContent xmlns:mc="http://schemas.openxmlformats.org/markup-compatibility/2006">
      <mc:Choice Requires="x14">
        <control shapeId="33931" r:id="rId62" name="story_response">
          <controlPr defaultSize="0" autoLine="0" altText="Reinforcement Demand" r:id="rId63">
            <anchor moveWithCells="1" sizeWithCells="1">
              <from>
                <xdr:col>1</xdr:col>
                <xdr:colOff>228600</xdr:colOff>
                <xdr:row>132</xdr:row>
                <xdr:rowOff>85725</xdr:rowOff>
              </from>
              <to>
                <xdr:col>1</xdr:col>
                <xdr:colOff>2771775</xdr:colOff>
                <xdr:row>133</xdr:row>
                <xdr:rowOff>152400</xdr:rowOff>
              </to>
            </anchor>
          </controlPr>
        </control>
      </mc:Choice>
      <mc:Fallback>
        <control shapeId="33931" r:id="rId62" name="story_response"/>
      </mc:Fallback>
    </mc:AlternateContent>
    <mc:AlternateContent xmlns:mc="http://schemas.openxmlformats.org/markup-compatibility/2006">
      <mc:Choice Requires="x14">
        <control shapeId="33932" r:id="rId64" name="design_excel">
          <controlPr defaultSize="0" autoLine="0" altText="Reinforcement Demand" r:id="rId65">
            <anchor moveWithCells="1" sizeWithCells="1">
              <from>
                <xdr:col>1</xdr:col>
                <xdr:colOff>228600</xdr:colOff>
                <xdr:row>134</xdr:row>
                <xdr:rowOff>85725</xdr:rowOff>
              </from>
              <to>
                <xdr:col>1</xdr:col>
                <xdr:colOff>2771775</xdr:colOff>
                <xdr:row>135</xdr:row>
                <xdr:rowOff>152400</xdr:rowOff>
              </to>
            </anchor>
          </controlPr>
        </control>
      </mc:Choice>
      <mc:Fallback>
        <control shapeId="33932" r:id="rId64" name="design_excel"/>
      </mc:Fallback>
    </mc:AlternateContent>
    <mc:AlternateContent xmlns:mc="http://schemas.openxmlformats.org/markup-compatibility/2006">
      <mc:Choice Requires="x14">
        <control shapeId="33933" r:id="rId66" name="etabs_excelsheet">
          <controlPr defaultSize="0" autoLine="0" altText="Reinforcement Demand" r:id="rId67">
            <anchor moveWithCells="1" sizeWithCells="1">
              <from>
                <xdr:col>1</xdr:col>
                <xdr:colOff>228600</xdr:colOff>
                <xdr:row>136</xdr:row>
                <xdr:rowOff>85725</xdr:rowOff>
              </from>
              <to>
                <xdr:col>1</xdr:col>
                <xdr:colOff>2771775</xdr:colOff>
                <xdr:row>137</xdr:row>
                <xdr:rowOff>152400</xdr:rowOff>
              </to>
            </anchor>
          </controlPr>
        </control>
      </mc:Choice>
      <mc:Fallback>
        <control shapeId="33933" r:id="rId66" name="etabs_excelsheet"/>
      </mc:Fallback>
    </mc:AlternateContent>
    <mc:AlternateContent xmlns:mc="http://schemas.openxmlformats.org/markup-compatibility/2006">
      <mc:Choice Requires="x14">
        <control shapeId="33934" r:id="rId68" name="etabs_excel_modifier">
          <controlPr defaultSize="0" autoLine="0" altText="Reinforcement Demand" r:id="rId69">
            <anchor moveWithCells="1" sizeWithCells="1">
              <from>
                <xdr:col>2</xdr:col>
                <xdr:colOff>342900</xdr:colOff>
                <xdr:row>124</xdr:row>
                <xdr:rowOff>85725</xdr:rowOff>
              </from>
              <to>
                <xdr:col>5</xdr:col>
                <xdr:colOff>38100</xdr:colOff>
                <xdr:row>125</xdr:row>
                <xdr:rowOff>152400</xdr:rowOff>
              </to>
            </anchor>
          </controlPr>
        </control>
      </mc:Choice>
      <mc:Fallback>
        <control shapeId="33934" r:id="rId68" name="etabs_excel_modifier"/>
      </mc:Fallback>
    </mc:AlternateContent>
    <mc:AlternateContent xmlns:mc="http://schemas.openxmlformats.org/markup-compatibility/2006">
      <mc:Choice Requires="x14">
        <control shapeId="33935" r:id="rId70" name="etabs_excel_pdf">
          <controlPr defaultSize="0" autoLine="0" altText="Reinforcement Demand" r:id="rId71">
            <anchor moveWithCells="1" sizeWithCells="1">
              <from>
                <xdr:col>2</xdr:col>
                <xdr:colOff>342900</xdr:colOff>
                <xdr:row>126</xdr:row>
                <xdr:rowOff>85725</xdr:rowOff>
              </from>
              <to>
                <xdr:col>5</xdr:col>
                <xdr:colOff>38100</xdr:colOff>
                <xdr:row>127</xdr:row>
                <xdr:rowOff>152400</xdr:rowOff>
              </to>
            </anchor>
          </controlPr>
        </control>
      </mc:Choice>
      <mc:Fallback>
        <control shapeId="33935" r:id="rId70" name="etabs_excel_pdf"/>
      </mc:Fallback>
    </mc:AlternateContent>
    <mc:AlternateContent xmlns:mc="http://schemas.openxmlformats.org/markup-compatibility/2006">
      <mc:Choice Requires="x14">
        <control shapeId="33936" r:id="rId72" name="pdf_to_jpg">
          <controlPr defaultSize="0" autoLine="0" altText="Reinforcement Demand" r:id="rId73">
            <anchor moveWithCells="1" sizeWithCells="1">
              <from>
                <xdr:col>2</xdr:col>
                <xdr:colOff>342900</xdr:colOff>
                <xdr:row>128</xdr:row>
                <xdr:rowOff>85725</xdr:rowOff>
              </from>
              <to>
                <xdr:col>5</xdr:col>
                <xdr:colOff>38100</xdr:colOff>
                <xdr:row>129</xdr:row>
                <xdr:rowOff>152400</xdr:rowOff>
              </to>
            </anchor>
          </controlPr>
        </control>
      </mc:Choice>
      <mc:Fallback>
        <control shapeId="33936" r:id="rId72" name="pdf_to_jpg"/>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D78A91-E099-4C71-8FF0-CF9ECA7E062C}">
  <sheetPr codeName="Sheet2">
    <pageSetUpPr fitToPage="1"/>
  </sheetPr>
  <dimension ref="B2:M49"/>
  <sheetViews>
    <sheetView view="pageBreakPreview" zoomScale="60" zoomScaleNormal="70" workbookViewId="0">
      <selection activeCell="E14" sqref="E14"/>
    </sheetView>
  </sheetViews>
  <sheetFormatPr defaultColWidth="10.28515625" defaultRowHeight="15.75" x14ac:dyDescent="0.25"/>
  <cols>
    <col min="1" max="1" width="15.5703125" style="549" customWidth="1"/>
    <col min="2" max="2" width="73.42578125" style="549" bestFit="1" customWidth="1"/>
    <col min="3" max="3" width="23.28515625" style="549" customWidth="1"/>
    <col min="4" max="4" width="10.28515625" style="549" customWidth="1"/>
    <col min="5" max="5" width="25" style="549" bestFit="1" customWidth="1"/>
    <col min="6" max="8" width="10.28515625" style="549"/>
    <col min="9" max="10" width="10.28515625" style="549" customWidth="1"/>
    <col min="11" max="16384" width="10.28515625" style="549"/>
  </cols>
  <sheetData>
    <row r="2" spans="2:13" x14ac:dyDescent="0.25">
      <c r="B2" s="611" t="s">
        <v>379</v>
      </c>
      <c r="C2" s="612"/>
    </row>
    <row r="3" spans="2:13" x14ac:dyDescent="0.25">
      <c r="B3" s="549" t="s">
        <v>380</v>
      </c>
      <c r="C3" s="550">
        <v>0.3</v>
      </c>
      <c r="J3" s="551"/>
    </row>
    <row r="4" spans="2:13" x14ac:dyDescent="0.25">
      <c r="B4" s="549" t="s">
        <v>381</v>
      </c>
      <c r="C4" s="550">
        <v>1</v>
      </c>
      <c r="J4" s="551"/>
    </row>
    <row r="5" spans="2:13" x14ac:dyDescent="0.25">
      <c r="B5" s="549" t="s">
        <v>382</v>
      </c>
      <c r="C5" s="552">
        <f>30*12*2.54/100</f>
        <v>9.1440000000000001</v>
      </c>
      <c r="J5" s="551"/>
    </row>
    <row r="6" spans="2:13" x14ac:dyDescent="0.25">
      <c r="B6" s="549" t="s">
        <v>348</v>
      </c>
      <c r="C6" s="553" t="s">
        <v>160</v>
      </c>
      <c r="J6" s="551"/>
    </row>
    <row r="7" spans="2:13" ht="6.75" customHeight="1" thickBot="1" x14ac:dyDescent="0.3">
      <c r="C7" s="554"/>
    </row>
    <row r="8" spans="2:13" ht="16.5" thickBot="1" x14ac:dyDescent="0.3">
      <c r="B8" s="610" t="s">
        <v>383</v>
      </c>
      <c r="C8" s="610"/>
      <c r="I8" s="556"/>
      <c r="J8" s="557" t="s">
        <v>175</v>
      </c>
      <c r="K8" s="557" t="s">
        <v>124</v>
      </c>
      <c r="L8" s="557" t="s">
        <v>160</v>
      </c>
      <c r="M8" s="558" t="s">
        <v>144</v>
      </c>
    </row>
    <row r="9" spans="2:13" ht="18.75" x14ac:dyDescent="0.35">
      <c r="B9" s="549" t="s">
        <v>384</v>
      </c>
      <c r="C9" s="559">
        <v>7.4999999999999997E-2</v>
      </c>
      <c r="I9" s="560" t="s">
        <v>371</v>
      </c>
      <c r="J9" s="549">
        <v>0.1</v>
      </c>
      <c r="K9" s="549">
        <v>0.1</v>
      </c>
      <c r="L9" s="549">
        <v>0.1</v>
      </c>
      <c r="M9" s="561">
        <v>0.5</v>
      </c>
    </row>
    <row r="10" spans="2:13" ht="20.25" x14ac:dyDescent="0.35">
      <c r="B10" s="551" t="s">
        <v>385</v>
      </c>
      <c r="C10" s="559">
        <f>1.25*C9*POWER(C5,0.75)</f>
        <v>0.49297334700936013</v>
      </c>
      <c r="I10" s="562" t="s">
        <v>373</v>
      </c>
      <c r="J10" s="549">
        <v>0.5</v>
      </c>
      <c r="K10" s="549">
        <v>0.7</v>
      </c>
      <c r="L10" s="549">
        <v>1</v>
      </c>
      <c r="M10" s="561">
        <v>2</v>
      </c>
    </row>
    <row r="11" spans="2:13" ht="18.75" x14ac:dyDescent="0.35">
      <c r="B11" s="549" t="s">
        <v>386</v>
      </c>
      <c r="C11" s="554">
        <f>IF($C$6=$J$8,J9,IF($C$6=$K$8,K9,IF($C$6=$L$8,L9,IF($C$6=$M$8,M9))))</f>
        <v>0.1</v>
      </c>
      <c r="I11" s="562" t="s">
        <v>387</v>
      </c>
      <c r="J11" s="549">
        <v>2.5</v>
      </c>
      <c r="K11" s="549">
        <v>2.5</v>
      </c>
      <c r="L11" s="549">
        <v>2.5</v>
      </c>
      <c r="M11" s="561">
        <v>2.25</v>
      </c>
    </row>
    <row r="12" spans="2:13" ht="19.5" thickBot="1" x14ac:dyDescent="0.4">
      <c r="B12" s="549" t="s">
        <v>388</v>
      </c>
      <c r="C12" s="554">
        <f t="shared" ref="C12:C14" si="0">IF($C$6=$J$8,J10,IF($C$6=$K$8,K10,IF($C$6=$L$8,L10,IF($C$6=$M$8,M10))))</f>
        <v>1</v>
      </c>
      <c r="I12" s="563" t="s">
        <v>377</v>
      </c>
      <c r="J12" s="564">
        <v>1.8</v>
      </c>
      <c r="K12" s="564">
        <v>1.8</v>
      </c>
      <c r="L12" s="564">
        <v>1.8</v>
      </c>
      <c r="M12" s="565">
        <v>0.8</v>
      </c>
    </row>
    <row r="13" spans="2:13" x14ac:dyDescent="0.25">
      <c r="B13" s="549" t="s">
        <v>389</v>
      </c>
      <c r="C13" s="554">
        <f t="shared" si="0"/>
        <v>2.5</v>
      </c>
    </row>
    <row r="14" spans="2:13" ht="16.5" thickBot="1" x14ac:dyDescent="0.3">
      <c r="B14" s="549" t="s">
        <v>390</v>
      </c>
      <c r="C14" s="554">
        <f t="shared" si="0"/>
        <v>1.8</v>
      </c>
      <c r="E14" s="551"/>
    </row>
    <row r="15" spans="2:13" ht="16.5" thickBot="1" x14ac:dyDescent="0.3">
      <c r="C15" s="554"/>
      <c r="E15" s="551"/>
      <c r="I15" s="556"/>
      <c r="J15" s="566" t="s">
        <v>391</v>
      </c>
      <c r="K15" s="567" t="s">
        <v>392</v>
      </c>
      <c r="L15" s="567" t="s">
        <v>393</v>
      </c>
      <c r="M15" s="568" t="s">
        <v>394</v>
      </c>
    </row>
    <row r="16" spans="2:13" ht="17.25" x14ac:dyDescent="0.3">
      <c r="B16" s="610" t="s">
        <v>397</v>
      </c>
      <c r="C16" s="610"/>
      <c r="I16" s="569" t="s">
        <v>395</v>
      </c>
      <c r="J16" s="570" t="s">
        <v>396</v>
      </c>
      <c r="K16" s="571">
        <v>4</v>
      </c>
      <c r="L16" s="571">
        <v>1.5</v>
      </c>
      <c r="M16" s="572">
        <v>1.25</v>
      </c>
    </row>
    <row r="17" spans="2:13" x14ac:dyDescent="0.25">
      <c r="B17" s="573" t="s">
        <v>399</v>
      </c>
      <c r="C17" s="555"/>
      <c r="I17" s="574"/>
      <c r="J17" s="575" t="s">
        <v>398</v>
      </c>
      <c r="K17" s="576">
        <v>4</v>
      </c>
      <c r="L17" s="576">
        <v>1.5</v>
      </c>
      <c r="M17" s="577">
        <v>1.25</v>
      </c>
    </row>
    <row r="18" spans="2:13" x14ac:dyDescent="0.25">
      <c r="B18" s="551" t="str">
        <f>IF(C10&lt;C11,"Since T1 ≤ Ta, Ch(T)",IF((C10&gt;=C11)*AND(C10&lt;=C12),"Since Ta ≤ T1 ≤ Tc, Ch(T)",IF((C10&gt;=C12)*AND(C10&lt;=6),"Since Tc ≤ T1 ≤ 6, Ch(T)","Value of T1 Exceeded 6, Revise the data")))</f>
        <v>Since Ta ≤ T1 ≤ Tc, Ch(T)</v>
      </c>
      <c r="C18" s="554">
        <f>IF(C10&lt;C11,1+(C13-1)*C10/C11,IF((C10&gt;=C11)*AND(C10&lt;=C12),C13,IF((C10&gt;=C12)*AND(C10&lt;=6),C13*(C14+(1-C14)*POWER(C12/C10,2))*POWER(C12/C10,2),"Value of T1 Exceeded 6, Revise the data")))</f>
        <v>2.5</v>
      </c>
      <c r="I18" s="574"/>
      <c r="J18" s="575" t="s">
        <v>400</v>
      </c>
      <c r="K18" s="578">
        <v>4</v>
      </c>
      <c r="L18" s="578">
        <v>1.5</v>
      </c>
      <c r="M18" s="577">
        <v>1.25</v>
      </c>
    </row>
    <row r="19" spans="2:13" x14ac:dyDescent="0.25">
      <c r="B19" s="549" t="s">
        <v>403</v>
      </c>
      <c r="C19" s="554"/>
      <c r="E19" s="579"/>
      <c r="I19" s="580" t="s">
        <v>401</v>
      </c>
      <c r="J19" s="575" t="s">
        <v>402</v>
      </c>
      <c r="K19" s="578">
        <v>4</v>
      </c>
      <c r="L19" s="578">
        <v>1.5</v>
      </c>
      <c r="M19" s="577">
        <v>1.25</v>
      </c>
    </row>
    <row r="20" spans="2:13" ht="18.75" x14ac:dyDescent="0.35">
      <c r="B20" s="551" t="s">
        <v>405</v>
      </c>
      <c r="C20" s="559">
        <f>C18*C3*C4</f>
        <v>0.75</v>
      </c>
      <c r="I20" s="574"/>
      <c r="J20" s="575" t="s">
        <v>404</v>
      </c>
      <c r="K20" s="578">
        <v>4</v>
      </c>
      <c r="L20" s="578">
        <v>1.5</v>
      </c>
      <c r="M20" s="577">
        <v>1.25</v>
      </c>
    </row>
    <row r="21" spans="2:13" x14ac:dyDescent="0.25">
      <c r="B21" s="549" t="s">
        <v>407</v>
      </c>
      <c r="C21" s="554"/>
      <c r="I21" s="574"/>
      <c r="J21" s="575" t="s">
        <v>406</v>
      </c>
      <c r="K21" s="578">
        <v>3</v>
      </c>
      <c r="L21" s="578">
        <v>1.3</v>
      </c>
      <c r="M21" s="577">
        <v>1.1499999999999999</v>
      </c>
    </row>
    <row r="22" spans="2:13" ht="18.75" x14ac:dyDescent="0.35">
      <c r="B22" s="551" t="s">
        <v>409</v>
      </c>
      <c r="C22" s="559">
        <f>0.2*C20</f>
        <v>0.15000000000000002</v>
      </c>
      <c r="I22" s="574"/>
      <c r="J22" s="575" t="s">
        <v>408</v>
      </c>
      <c r="K22" s="578">
        <v>3</v>
      </c>
      <c r="L22" s="578">
        <v>1.3</v>
      </c>
      <c r="M22" s="577">
        <v>1.1499999999999999</v>
      </c>
    </row>
    <row r="23" spans="2:13" ht="8.25" customHeight="1" x14ac:dyDescent="0.25">
      <c r="C23" s="554"/>
      <c r="I23" s="574"/>
      <c r="J23" s="575" t="s">
        <v>410</v>
      </c>
      <c r="K23" s="578">
        <v>4</v>
      </c>
      <c r="L23" s="578">
        <v>1.5</v>
      </c>
      <c r="M23" s="577">
        <v>1.25</v>
      </c>
    </row>
    <row r="24" spans="2:13" x14ac:dyDescent="0.25">
      <c r="B24" s="610" t="s">
        <v>413</v>
      </c>
      <c r="C24" s="610"/>
      <c r="I24" s="580" t="s">
        <v>411</v>
      </c>
      <c r="J24" s="575" t="s">
        <v>412</v>
      </c>
      <c r="K24" s="578">
        <v>3</v>
      </c>
      <c r="L24" s="578">
        <v>1.3</v>
      </c>
      <c r="M24" s="577">
        <v>1.1499999999999999</v>
      </c>
    </row>
    <row r="25" spans="2:13" x14ac:dyDescent="0.25">
      <c r="B25" s="573" t="s">
        <v>415</v>
      </c>
      <c r="C25" s="554"/>
      <c r="I25" s="574"/>
      <c r="J25" s="575" t="s">
        <v>414</v>
      </c>
      <c r="K25" s="578">
        <v>3</v>
      </c>
      <c r="L25" s="578">
        <v>1.3</v>
      </c>
      <c r="M25" s="577">
        <v>1.1499999999999999</v>
      </c>
    </row>
    <row r="26" spans="2:13" x14ac:dyDescent="0.25">
      <c r="B26" s="581" t="s">
        <v>398</v>
      </c>
      <c r="C26" s="554"/>
      <c r="I26" s="574"/>
      <c r="J26" s="575" t="s">
        <v>416</v>
      </c>
      <c r="K26" s="578">
        <v>2.5</v>
      </c>
      <c r="L26" s="578">
        <v>1.2</v>
      </c>
      <c r="M26" s="577">
        <v>1.1000000000000001</v>
      </c>
    </row>
    <row r="27" spans="2:13" ht="18.75" x14ac:dyDescent="0.35">
      <c r="B27" s="549" t="s">
        <v>418</v>
      </c>
      <c r="C27" s="554">
        <f>VLOOKUP('Seismic NBC'!B26,'Seismic NBC'!J15:M35,2,0)</f>
        <v>4</v>
      </c>
      <c r="D27" s="554"/>
      <c r="I27" s="574"/>
      <c r="J27" s="575" t="s">
        <v>417</v>
      </c>
      <c r="K27" s="578">
        <v>2.5</v>
      </c>
      <c r="L27" s="578">
        <v>1.2</v>
      </c>
      <c r="M27" s="577">
        <v>1.1000000000000001</v>
      </c>
    </row>
    <row r="28" spans="2:13" ht="18.75" x14ac:dyDescent="0.35">
      <c r="B28" s="549" t="s">
        <v>420</v>
      </c>
      <c r="C28" s="554">
        <f>VLOOKUP('Seismic NBC'!B26,'Seismic NBC'!J15:M35,3,0)</f>
        <v>1.5</v>
      </c>
      <c r="D28" s="554"/>
      <c r="I28" s="574"/>
      <c r="J28" s="575" t="s">
        <v>419</v>
      </c>
      <c r="K28" s="578">
        <v>2</v>
      </c>
      <c r="L28" s="578">
        <v>1.2</v>
      </c>
      <c r="M28" s="577">
        <v>1.1000000000000001</v>
      </c>
    </row>
    <row r="29" spans="2:13" ht="18.75" x14ac:dyDescent="0.35">
      <c r="B29" s="549" t="s">
        <v>421</v>
      </c>
      <c r="C29" s="554">
        <v>1</v>
      </c>
      <c r="D29" s="554"/>
      <c r="I29" s="580" t="s">
        <v>270</v>
      </c>
      <c r="J29" s="575" t="s">
        <v>402</v>
      </c>
      <c r="K29" s="578">
        <v>4</v>
      </c>
      <c r="L29" s="578">
        <v>1.5</v>
      </c>
      <c r="M29" s="577">
        <v>1.25</v>
      </c>
    </row>
    <row r="30" spans="2:13" ht="18.75" x14ac:dyDescent="0.35">
      <c r="B30" s="549" t="s">
        <v>422</v>
      </c>
      <c r="C30" s="554">
        <f>VLOOKUP('Seismic NBC'!B26,'Seismic NBC'!J15:M35,4,0)</f>
        <v>1.25</v>
      </c>
      <c r="D30" s="554"/>
      <c r="I30" s="574"/>
      <c r="J30" s="575" t="s">
        <v>404</v>
      </c>
      <c r="K30" s="578">
        <v>4</v>
      </c>
      <c r="L30" s="578">
        <v>1.5</v>
      </c>
      <c r="M30" s="577">
        <v>1.25</v>
      </c>
    </row>
    <row r="31" spans="2:13" x14ac:dyDescent="0.25">
      <c r="B31" s="549" t="s">
        <v>423</v>
      </c>
      <c r="C31" s="554"/>
      <c r="I31" s="574"/>
      <c r="J31" s="575" t="s">
        <v>406</v>
      </c>
      <c r="K31" s="578">
        <v>3.5</v>
      </c>
      <c r="L31" s="578">
        <v>1.4</v>
      </c>
      <c r="M31" s="577">
        <v>1.2</v>
      </c>
    </row>
    <row r="32" spans="2:13" ht="18.75" x14ac:dyDescent="0.35">
      <c r="B32" s="551" t="s">
        <v>424</v>
      </c>
      <c r="C32" s="559">
        <f>C20/(C27*C28)</f>
        <v>0.125</v>
      </c>
      <c r="I32" s="574"/>
      <c r="J32" s="575" t="s">
        <v>408</v>
      </c>
      <c r="K32" s="578">
        <v>3.5</v>
      </c>
      <c r="L32" s="578">
        <v>1.4</v>
      </c>
      <c r="M32" s="577">
        <v>1.2</v>
      </c>
    </row>
    <row r="33" spans="2:13" x14ac:dyDescent="0.25">
      <c r="B33" s="549" t="s">
        <v>425</v>
      </c>
      <c r="C33" s="582"/>
      <c r="I33" s="574"/>
      <c r="J33" s="575" t="s">
        <v>410</v>
      </c>
      <c r="K33" s="578">
        <v>4</v>
      </c>
      <c r="L33" s="578">
        <v>1.5</v>
      </c>
      <c r="M33" s="577">
        <v>1.25</v>
      </c>
    </row>
    <row r="34" spans="2:13" ht="18.75" x14ac:dyDescent="0.35">
      <c r="B34" s="551" t="s">
        <v>426</v>
      </c>
      <c r="C34" s="559">
        <f>C22/C30</f>
        <v>0.12000000000000002</v>
      </c>
      <c r="I34" s="574"/>
      <c r="J34" s="575" t="s">
        <v>412</v>
      </c>
      <c r="K34" s="578">
        <v>3.5</v>
      </c>
      <c r="L34" s="578">
        <v>1.4</v>
      </c>
      <c r="M34" s="577">
        <v>1.2</v>
      </c>
    </row>
    <row r="35" spans="2:13" ht="16.5" thickBot="1" x14ac:dyDescent="0.3">
      <c r="B35" s="549" t="s">
        <v>427</v>
      </c>
      <c r="C35" s="559">
        <f>IF(C10&lt;0.5,1,IF(C10&gt;2.5,2,1 + 0.5*(C10-0.5)))</f>
        <v>1</v>
      </c>
      <c r="I35" s="583"/>
      <c r="J35" s="584" t="s">
        <v>414</v>
      </c>
      <c r="K35" s="585">
        <v>3.5</v>
      </c>
      <c r="L35" s="585">
        <v>1.4</v>
      </c>
      <c r="M35" s="586">
        <v>1.2</v>
      </c>
    </row>
    <row r="36" spans="2:13" x14ac:dyDescent="0.25">
      <c r="C36" s="554"/>
    </row>
    <row r="37" spans="2:13" x14ac:dyDescent="0.25">
      <c r="B37" s="610" t="s">
        <v>428</v>
      </c>
      <c r="C37" s="610"/>
    </row>
    <row r="38" spans="2:13" x14ac:dyDescent="0.25">
      <c r="B38" s="549" t="s">
        <v>429</v>
      </c>
      <c r="C38" s="549">
        <v>2.5000000000000001E-2</v>
      </c>
    </row>
    <row r="39" spans="2:13" ht="18.75" x14ac:dyDescent="0.35">
      <c r="B39" s="549" t="s">
        <v>430</v>
      </c>
      <c r="C39" s="587">
        <f>0.025*C5/C27*1000</f>
        <v>57.150000000000006</v>
      </c>
    </row>
    <row r="40" spans="2:13" x14ac:dyDescent="0.25">
      <c r="B40" s="549" t="s">
        <v>677</v>
      </c>
      <c r="C40" s="588">
        <v>25</v>
      </c>
      <c r="D40" s="549" t="str">
        <f>IF(C40&lt;C39, "OK", "NOT OK")</f>
        <v>OK</v>
      </c>
    </row>
    <row r="41" spans="2:13" x14ac:dyDescent="0.25">
      <c r="B41" s="549" t="s">
        <v>431</v>
      </c>
      <c r="C41" s="549">
        <v>6.0000000000000001E-3</v>
      </c>
    </row>
    <row r="42" spans="2:13" ht="18.75" x14ac:dyDescent="0.35">
      <c r="B42" s="549" t="s">
        <v>432</v>
      </c>
      <c r="C42" s="587">
        <f>0.006*C5/C29*1000</f>
        <v>54.864000000000004</v>
      </c>
    </row>
    <row r="43" spans="2:13" x14ac:dyDescent="0.25">
      <c r="B43" s="549" t="s">
        <v>678</v>
      </c>
      <c r="C43" s="588">
        <v>24.05</v>
      </c>
      <c r="D43" s="549" t="str">
        <f>IF(C43&lt;C42, "OK", "NOT OK")</f>
        <v>OK</v>
      </c>
    </row>
    <row r="44" spans="2:13" ht="8.25" customHeight="1" x14ac:dyDescent="0.25"/>
    <row r="45" spans="2:13" x14ac:dyDescent="0.25">
      <c r="B45" s="610" t="s">
        <v>679</v>
      </c>
      <c r="C45" s="610"/>
    </row>
    <row r="46" spans="2:13" ht="18.75" x14ac:dyDescent="0.35">
      <c r="B46" s="549" t="s">
        <v>434</v>
      </c>
      <c r="C46" s="549">
        <f>0.025/C27</f>
        <v>6.2500000000000003E-3</v>
      </c>
    </row>
    <row r="47" spans="2:13" x14ac:dyDescent="0.25">
      <c r="B47" s="549" t="s">
        <v>433</v>
      </c>
      <c r="C47" s="581">
        <v>4.2180000000000004E-3</v>
      </c>
      <c r="D47" s="549" t="str">
        <f>IF(C47&lt;C46, "OK", "NOT OK")</f>
        <v>OK</v>
      </c>
    </row>
    <row r="48" spans="2:13" x14ac:dyDescent="0.25">
      <c r="B48" s="549" t="s">
        <v>435</v>
      </c>
      <c r="C48" s="549">
        <f>C41</f>
        <v>6.0000000000000001E-3</v>
      </c>
    </row>
    <row r="49" spans="2:4" x14ac:dyDescent="0.25">
      <c r="B49" s="549" t="s">
        <v>680</v>
      </c>
      <c r="C49" s="581">
        <v>4.0000000000000001E-3</v>
      </c>
      <c r="D49" s="549" t="str">
        <f t="shared" ref="D49" si="1">IF(C49&lt;C48, "OK", "NOT OK")</f>
        <v>OK</v>
      </c>
    </row>
  </sheetData>
  <mergeCells count="6">
    <mergeCell ref="B45:C45"/>
    <mergeCell ref="B2:C2"/>
    <mergeCell ref="B8:C8"/>
    <mergeCell ref="B16:C16"/>
    <mergeCell ref="B24:C24"/>
    <mergeCell ref="B37:C37"/>
  </mergeCells>
  <dataValidations count="2">
    <dataValidation type="list" allowBlank="1" showInputMessage="1" showErrorMessage="1" sqref="B26" xr:uid="{E77305AE-9C8C-4A63-8443-FF7C2B3026E3}">
      <formula1>$J$16:$J$35</formula1>
    </dataValidation>
    <dataValidation type="list" allowBlank="1" showInputMessage="1" showErrorMessage="1" sqref="C6" xr:uid="{134C2F13-D42A-435F-B192-FE01F13D6EC6}">
      <formula1>$J$8:$M$8</formula1>
    </dataValidation>
  </dataValidations>
  <pageMargins left="0.7" right="0.7" top="0.75" bottom="0.75" header="0.3" footer="0.3"/>
  <pageSetup paperSize="9" scale="83" fitToHeight="0"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AFC538-C5A0-4045-8893-207FC32C086A}">
  <sheetPr codeName="Sheet7"/>
  <dimension ref="B2:T62"/>
  <sheetViews>
    <sheetView view="pageBreakPreview" topLeftCell="A3" zoomScale="60" zoomScaleNormal="100" workbookViewId="0">
      <selection activeCell="E10" sqref="E10"/>
    </sheetView>
  </sheetViews>
  <sheetFormatPr defaultRowHeight="12.75" x14ac:dyDescent="0.2"/>
  <cols>
    <col min="1" max="1" width="4.28515625" style="7" customWidth="1"/>
    <col min="2" max="2" width="7.5703125" style="7" customWidth="1"/>
    <col min="3" max="3" width="12.85546875" style="7" customWidth="1"/>
    <col min="4" max="4" width="11.42578125" style="323" customWidth="1"/>
    <col min="5" max="5" width="10.7109375" style="316" customWidth="1"/>
    <col min="6" max="6" width="4.5703125" style="7" bestFit="1" customWidth="1"/>
    <col min="7" max="11" width="3.7109375" style="7" customWidth="1"/>
    <col min="12" max="14" width="3.7109375" style="4" customWidth="1"/>
    <col min="15" max="17" width="3.7109375" style="7" customWidth="1"/>
    <col min="18" max="18" width="4" style="7" bestFit="1" customWidth="1"/>
    <col min="19" max="19" width="6.7109375" style="7" bestFit="1" customWidth="1"/>
    <col min="20" max="20" width="11" style="7" bestFit="1" customWidth="1"/>
    <col min="21" max="21" width="4" style="7" bestFit="1" customWidth="1"/>
    <col min="22" max="22" width="12.7109375" style="7" customWidth="1"/>
    <col min="23" max="23" width="12.28515625" style="7" bestFit="1" customWidth="1"/>
    <col min="24" max="24" width="23.42578125" style="7" customWidth="1"/>
    <col min="25" max="256" width="9.140625" style="7"/>
    <col min="257" max="257" width="4.28515625" style="7" customWidth="1"/>
    <col min="258" max="258" width="7.5703125" style="7" customWidth="1"/>
    <col min="259" max="259" width="12.85546875" style="7" customWidth="1"/>
    <col min="260" max="260" width="11.42578125" style="7" customWidth="1"/>
    <col min="261" max="261" width="10.7109375" style="7" customWidth="1"/>
    <col min="262" max="262" width="4.5703125" style="7" bestFit="1" customWidth="1"/>
    <col min="263" max="273" width="3.7109375" style="7" customWidth="1"/>
    <col min="274" max="274" width="4" style="7" bestFit="1" customWidth="1"/>
    <col min="275" max="275" width="6.7109375" style="7" bestFit="1" customWidth="1"/>
    <col min="276" max="276" width="11" style="7" bestFit="1" customWidth="1"/>
    <col min="277" max="277" width="4" style="7" bestFit="1" customWidth="1"/>
    <col min="278" max="278" width="12.7109375" style="7" customWidth="1"/>
    <col min="279" max="279" width="12.28515625" style="7" bestFit="1" customWidth="1"/>
    <col min="280" max="280" width="23.42578125" style="7" customWidth="1"/>
    <col min="281" max="512" width="9.140625" style="7"/>
    <col min="513" max="513" width="4.28515625" style="7" customWidth="1"/>
    <col min="514" max="514" width="7.5703125" style="7" customWidth="1"/>
    <col min="515" max="515" width="12.85546875" style="7" customWidth="1"/>
    <col min="516" max="516" width="11.42578125" style="7" customWidth="1"/>
    <col min="517" max="517" width="10.7109375" style="7" customWidth="1"/>
    <col min="518" max="518" width="4.5703125" style="7" bestFit="1" customWidth="1"/>
    <col min="519" max="529" width="3.7109375" style="7" customWidth="1"/>
    <col min="530" max="530" width="4" style="7" bestFit="1" customWidth="1"/>
    <col min="531" max="531" width="6.7109375" style="7" bestFit="1" customWidth="1"/>
    <col min="532" max="532" width="11" style="7" bestFit="1" customWidth="1"/>
    <col min="533" max="533" width="4" style="7" bestFit="1" customWidth="1"/>
    <col min="534" max="534" width="12.7109375" style="7" customWidth="1"/>
    <col min="535" max="535" width="12.28515625" style="7" bestFit="1" customWidth="1"/>
    <col min="536" max="536" width="23.42578125" style="7" customWidth="1"/>
    <col min="537" max="768" width="9.140625" style="7"/>
    <col min="769" max="769" width="4.28515625" style="7" customWidth="1"/>
    <col min="770" max="770" width="7.5703125" style="7" customWidth="1"/>
    <col min="771" max="771" width="12.85546875" style="7" customWidth="1"/>
    <col min="772" max="772" width="11.42578125" style="7" customWidth="1"/>
    <col min="773" max="773" width="10.7109375" style="7" customWidth="1"/>
    <col min="774" max="774" width="4.5703125" style="7" bestFit="1" customWidth="1"/>
    <col min="775" max="785" width="3.7109375" style="7" customWidth="1"/>
    <col min="786" max="786" width="4" style="7" bestFit="1" customWidth="1"/>
    <col min="787" max="787" width="6.7109375" style="7" bestFit="1" customWidth="1"/>
    <col min="788" max="788" width="11" style="7" bestFit="1" customWidth="1"/>
    <col min="789" max="789" width="4" style="7" bestFit="1" customWidth="1"/>
    <col min="790" max="790" width="12.7109375" style="7" customWidth="1"/>
    <col min="791" max="791" width="12.28515625" style="7" bestFit="1" customWidth="1"/>
    <col min="792" max="792" width="23.42578125" style="7" customWidth="1"/>
    <col min="793" max="1024" width="9.140625" style="7"/>
    <col min="1025" max="1025" width="4.28515625" style="7" customWidth="1"/>
    <col min="1026" max="1026" width="7.5703125" style="7" customWidth="1"/>
    <col min="1027" max="1027" width="12.85546875" style="7" customWidth="1"/>
    <col min="1028" max="1028" width="11.42578125" style="7" customWidth="1"/>
    <col min="1029" max="1029" width="10.7109375" style="7" customWidth="1"/>
    <col min="1030" max="1030" width="4.5703125" style="7" bestFit="1" customWidth="1"/>
    <col min="1031" max="1041" width="3.7109375" style="7" customWidth="1"/>
    <col min="1042" max="1042" width="4" style="7" bestFit="1" customWidth="1"/>
    <col min="1043" max="1043" width="6.7109375" style="7" bestFit="1" customWidth="1"/>
    <col min="1044" max="1044" width="11" style="7" bestFit="1" customWidth="1"/>
    <col min="1045" max="1045" width="4" style="7" bestFit="1" customWidth="1"/>
    <col min="1046" max="1046" width="12.7109375" style="7" customWidth="1"/>
    <col min="1047" max="1047" width="12.28515625" style="7" bestFit="1" customWidth="1"/>
    <col min="1048" max="1048" width="23.42578125" style="7" customWidth="1"/>
    <col min="1049" max="1280" width="9.140625" style="7"/>
    <col min="1281" max="1281" width="4.28515625" style="7" customWidth="1"/>
    <col min="1282" max="1282" width="7.5703125" style="7" customWidth="1"/>
    <col min="1283" max="1283" width="12.85546875" style="7" customWidth="1"/>
    <col min="1284" max="1284" width="11.42578125" style="7" customWidth="1"/>
    <col min="1285" max="1285" width="10.7109375" style="7" customWidth="1"/>
    <col min="1286" max="1286" width="4.5703125" style="7" bestFit="1" customWidth="1"/>
    <col min="1287" max="1297" width="3.7109375" style="7" customWidth="1"/>
    <col min="1298" max="1298" width="4" style="7" bestFit="1" customWidth="1"/>
    <col min="1299" max="1299" width="6.7109375" style="7" bestFit="1" customWidth="1"/>
    <col min="1300" max="1300" width="11" style="7" bestFit="1" customWidth="1"/>
    <col min="1301" max="1301" width="4" style="7" bestFit="1" customWidth="1"/>
    <col min="1302" max="1302" width="12.7109375" style="7" customWidth="1"/>
    <col min="1303" max="1303" width="12.28515625" style="7" bestFit="1" customWidth="1"/>
    <col min="1304" max="1304" width="23.42578125" style="7" customWidth="1"/>
    <col min="1305" max="1536" width="9.140625" style="7"/>
    <col min="1537" max="1537" width="4.28515625" style="7" customWidth="1"/>
    <col min="1538" max="1538" width="7.5703125" style="7" customWidth="1"/>
    <col min="1539" max="1539" width="12.85546875" style="7" customWidth="1"/>
    <col min="1540" max="1540" width="11.42578125" style="7" customWidth="1"/>
    <col min="1541" max="1541" width="10.7109375" style="7" customWidth="1"/>
    <col min="1542" max="1542" width="4.5703125" style="7" bestFit="1" customWidth="1"/>
    <col min="1543" max="1553" width="3.7109375" style="7" customWidth="1"/>
    <col min="1554" max="1554" width="4" style="7" bestFit="1" customWidth="1"/>
    <col min="1555" max="1555" width="6.7109375" style="7" bestFit="1" customWidth="1"/>
    <col min="1556" max="1556" width="11" style="7" bestFit="1" customWidth="1"/>
    <col min="1557" max="1557" width="4" style="7" bestFit="1" customWidth="1"/>
    <col min="1558" max="1558" width="12.7109375" style="7" customWidth="1"/>
    <col min="1559" max="1559" width="12.28515625" style="7" bestFit="1" customWidth="1"/>
    <col min="1560" max="1560" width="23.42578125" style="7" customWidth="1"/>
    <col min="1561" max="1792" width="9.140625" style="7"/>
    <col min="1793" max="1793" width="4.28515625" style="7" customWidth="1"/>
    <col min="1794" max="1794" width="7.5703125" style="7" customWidth="1"/>
    <col min="1795" max="1795" width="12.85546875" style="7" customWidth="1"/>
    <col min="1796" max="1796" width="11.42578125" style="7" customWidth="1"/>
    <col min="1797" max="1797" width="10.7109375" style="7" customWidth="1"/>
    <col min="1798" max="1798" width="4.5703125" style="7" bestFit="1" customWidth="1"/>
    <col min="1799" max="1809" width="3.7109375" style="7" customWidth="1"/>
    <col min="1810" max="1810" width="4" style="7" bestFit="1" customWidth="1"/>
    <col min="1811" max="1811" width="6.7109375" style="7" bestFit="1" customWidth="1"/>
    <col min="1812" max="1812" width="11" style="7" bestFit="1" customWidth="1"/>
    <col min="1813" max="1813" width="4" style="7" bestFit="1" customWidth="1"/>
    <col min="1814" max="1814" width="12.7109375" style="7" customWidth="1"/>
    <col min="1815" max="1815" width="12.28515625" style="7" bestFit="1" customWidth="1"/>
    <col min="1816" max="1816" width="23.42578125" style="7" customWidth="1"/>
    <col min="1817" max="2048" width="9.140625" style="7"/>
    <col min="2049" max="2049" width="4.28515625" style="7" customWidth="1"/>
    <col min="2050" max="2050" width="7.5703125" style="7" customWidth="1"/>
    <col min="2051" max="2051" width="12.85546875" style="7" customWidth="1"/>
    <col min="2052" max="2052" width="11.42578125" style="7" customWidth="1"/>
    <col min="2053" max="2053" width="10.7109375" style="7" customWidth="1"/>
    <col min="2054" max="2054" width="4.5703125" style="7" bestFit="1" customWidth="1"/>
    <col min="2055" max="2065" width="3.7109375" style="7" customWidth="1"/>
    <col min="2066" max="2066" width="4" style="7" bestFit="1" customWidth="1"/>
    <col min="2067" max="2067" width="6.7109375" style="7" bestFit="1" customWidth="1"/>
    <col min="2068" max="2068" width="11" style="7" bestFit="1" customWidth="1"/>
    <col min="2069" max="2069" width="4" style="7" bestFit="1" customWidth="1"/>
    <col min="2070" max="2070" width="12.7109375" style="7" customWidth="1"/>
    <col min="2071" max="2071" width="12.28515625" style="7" bestFit="1" customWidth="1"/>
    <col min="2072" max="2072" width="23.42578125" style="7" customWidth="1"/>
    <col min="2073" max="2304" width="9.140625" style="7"/>
    <col min="2305" max="2305" width="4.28515625" style="7" customWidth="1"/>
    <col min="2306" max="2306" width="7.5703125" style="7" customWidth="1"/>
    <col min="2307" max="2307" width="12.85546875" style="7" customWidth="1"/>
    <col min="2308" max="2308" width="11.42578125" style="7" customWidth="1"/>
    <col min="2309" max="2309" width="10.7109375" style="7" customWidth="1"/>
    <col min="2310" max="2310" width="4.5703125" style="7" bestFit="1" customWidth="1"/>
    <col min="2311" max="2321" width="3.7109375" style="7" customWidth="1"/>
    <col min="2322" max="2322" width="4" style="7" bestFit="1" customWidth="1"/>
    <col min="2323" max="2323" width="6.7109375" style="7" bestFit="1" customWidth="1"/>
    <col min="2324" max="2324" width="11" style="7" bestFit="1" customWidth="1"/>
    <col min="2325" max="2325" width="4" style="7" bestFit="1" customWidth="1"/>
    <col min="2326" max="2326" width="12.7109375" style="7" customWidth="1"/>
    <col min="2327" max="2327" width="12.28515625" style="7" bestFit="1" customWidth="1"/>
    <col min="2328" max="2328" width="23.42578125" style="7" customWidth="1"/>
    <col min="2329" max="2560" width="9.140625" style="7"/>
    <col min="2561" max="2561" width="4.28515625" style="7" customWidth="1"/>
    <col min="2562" max="2562" width="7.5703125" style="7" customWidth="1"/>
    <col min="2563" max="2563" width="12.85546875" style="7" customWidth="1"/>
    <col min="2564" max="2564" width="11.42578125" style="7" customWidth="1"/>
    <col min="2565" max="2565" width="10.7109375" style="7" customWidth="1"/>
    <col min="2566" max="2566" width="4.5703125" style="7" bestFit="1" customWidth="1"/>
    <col min="2567" max="2577" width="3.7109375" style="7" customWidth="1"/>
    <col min="2578" max="2578" width="4" style="7" bestFit="1" customWidth="1"/>
    <col min="2579" max="2579" width="6.7109375" style="7" bestFit="1" customWidth="1"/>
    <col min="2580" max="2580" width="11" style="7" bestFit="1" customWidth="1"/>
    <col min="2581" max="2581" width="4" style="7" bestFit="1" customWidth="1"/>
    <col min="2582" max="2582" width="12.7109375" style="7" customWidth="1"/>
    <col min="2583" max="2583" width="12.28515625" style="7" bestFit="1" customWidth="1"/>
    <col min="2584" max="2584" width="23.42578125" style="7" customWidth="1"/>
    <col min="2585" max="2816" width="9.140625" style="7"/>
    <col min="2817" max="2817" width="4.28515625" style="7" customWidth="1"/>
    <col min="2818" max="2818" width="7.5703125" style="7" customWidth="1"/>
    <col min="2819" max="2819" width="12.85546875" style="7" customWidth="1"/>
    <col min="2820" max="2820" width="11.42578125" style="7" customWidth="1"/>
    <col min="2821" max="2821" width="10.7109375" style="7" customWidth="1"/>
    <col min="2822" max="2822" width="4.5703125" style="7" bestFit="1" customWidth="1"/>
    <col min="2823" max="2833" width="3.7109375" style="7" customWidth="1"/>
    <col min="2834" max="2834" width="4" style="7" bestFit="1" customWidth="1"/>
    <col min="2835" max="2835" width="6.7109375" style="7" bestFit="1" customWidth="1"/>
    <col min="2836" max="2836" width="11" style="7" bestFit="1" customWidth="1"/>
    <col min="2837" max="2837" width="4" style="7" bestFit="1" customWidth="1"/>
    <col min="2838" max="2838" width="12.7109375" style="7" customWidth="1"/>
    <col min="2839" max="2839" width="12.28515625" style="7" bestFit="1" customWidth="1"/>
    <col min="2840" max="2840" width="23.42578125" style="7" customWidth="1"/>
    <col min="2841" max="3072" width="9.140625" style="7"/>
    <col min="3073" max="3073" width="4.28515625" style="7" customWidth="1"/>
    <col min="3074" max="3074" width="7.5703125" style="7" customWidth="1"/>
    <col min="3075" max="3075" width="12.85546875" style="7" customWidth="1"/>
    <col min="3076" max="3076" width="11.42578125" style="7" customWidth="1"/>
    <col min="3077" max="3077" width="10.7109375" style="7" customWidth="1"/>
    <col min="3078" max="3078" width="4.5703125" style="7" bestFit="1" customWidth="1"/>
    <col min="3079" max="3089" width="3.7109375" style="7" customWidth="1"/>
    <col min="3090" max="3090" width="4" style="7" bestFit="1" customWidth="1"/>
    <col min="3091" max="3091" width="6.7109375" style="7" bestFit="1" customWidth="1"/>
    <col min="3092" max="3092" width="11" style="7" bestFit="1" customWidth="1"/>
    <col min="3093" max="3093" width="4" style="7" bestFit="1" customWidth="1"/>
    <col min="3094" max="3094" width="12.7109375" style="7" customWidth="1"/>
    <col min="3095" max="3095" width="12.28515625" style="7" bestFit="1" customWidth="1"/>
    <col min="3096" max="3096" width="23.42578125" style="7" customWidth="1"/>
    <col min="3097" max="3328" width="9.140625" style="7"/>
    <col min="3329" max="3329" width="4.28515625" style="7" customWidth="1"/>
    <col min="3330" max="3330" width="7.5703125" style="7" customWidth="1"/>
    <col min="3331" max="3331" width="12.85546875" style="7" customWidth="1"/>
    <col min="3332" max="3332" width="11.42578125" style="7" customWidth="1"/>
    <col min="3333" max="3333" width="10.7109375" style="7" customWidth="1"/>
    <col min="3334" max="3334" width="4.5703125" style="7" bestFit="1" customWidth="1"/>
    <col min="3335" max="3345" width="3.7109375" style="7" customWidth="1"/>
    <col min="3346" max="3346" width="4" style="7" bestFit="1" customWidth="1"/>
    <col min="3347" max="3347" width="6.7109375" style="7" bestFit="1" customWidth="1"/>
    <col min="3348" max="3348" width="11" style="7" bestFit="1" customWidth="1"/>
    <col min="3349" max="3349" width="4" style="7" bestFit="1" customWidth="1"/>
    <col min="3350" max="3350" width="12.7109375" style="7" customWidth="1"/>
    <col min="3351" max="3351" width="12.28515625" style="7" bestFit="1" customWidth="1"/>
    <col min="3352" max="3352" width="23.42578125" style="7" customWidth="1"/>
    <col min="3353" max="3584" width="9.140625" style="7"/>
    <col min="3585" max="3585" width="4.28515625" style="7" customWidth="1"/>
    <col min="3586" max="3586" width="7.5703125" style="7" customWidth="1"/>
    <col min="3587" max="3587" width="12.85546875" style="7" customWidth="1"/>
    <col min="3588" max="3588" width="11.42578125" style="7" customWidth="1"/>
    <col min="3589" max="3589" width="10.7109375" style="7" customWidth="1"/>
    <col min="3590" max="3590" width="4.5703125" style="7" bestFit="1" customWidth="1"/>
    <col min="3591" max="3601" width="3.7109375" style="7" customWidth="1"/>
    <col min="3602" max="3602" width="4" style="7" bestFit="1" customWidth="1"/>
    <col min="3603" max="3603" width="6.7109375" style="7" bestFit="1" customWidth="1"/>
    <col min="3604" max="3604" width="11" style="7" bestFit="1" customWidth="1"/>
    <col min="3605" max="3605" width="4" style="7" bestFit="1" customWidth="1"/>
    <col min="3606" max="3606" width="12.7109375" style="7" customWidth="1"/>
    <col min="3607" max="3607" width="12.28515625" style="7" bestFit="1" customWidth="1"/>
    <col min="3608" max="3608" width="23.42578125" style="7" customWidth="1"/>
    <col min="3609" max="3840" width="9.140625" style="7"/>
    <col min="3841" max="3841" width="4.28515625" style="7" customWidth="1"/>
    <col min="3842" max="3842" width="7.5703125" style="7" customWidth="1"/>
    <col min="3843" max="3843" width="12.85546875" style="7" customWidth="1"/>
    <col min="3844" max="3844" width="11.42578125" style="7" customWidth="1"/>
    <col min="3845" max="3845" width="10.7109375" style="7" customWidth="1"/>
    <col min="3846" max="3846" width="4.5703125" style="7" bestFit="1" customWidth="1"/>
    <col min="3847" max="3857" width="3.7109375" style="7" customWidth="1"/>
    <col min="3858" max="3858" width="4" style="7" bestFit="1" customWidth="1"/>
    <col min="3859" max="3859" width="6.7109375" style="7" bestFit="1" customWidth="1"/>
    <col min="3860" max="3860" width="11" style="7" bestFit="1" customWidth="1"/>
    <col min="3861" max="3861" width="4" style="7" bestFit="1" customWidth="1"/>
    <col min="3862" max="3862" width="12.7109375" style="7" customWidth="1"/>
    <col min="3863" max="3863" width="12.28515625" style="7" bestFit="1" customWidth="1"/>
    <col min="3864" max="3864" width="23.42578125" style="7" customWidth="1"/>
    <col min="3865" max="4096" width="9.140625" style="7"/>
    <col min="4097" max="4097" width="4.28515625" style="7" customWidth="1"/>
    <col min="4098" max="4098" width="7.5703125" style="7" customWidth="1"/>
    <col min="4099" max="4099" width="12.85546875" style="7" customWidth="1"/>
    <col min="4100" max="4100" width="11.42578125" style="7" customWidth="1"/>
    <col min="4101" max="4101" width="10.7109375" style="7" customWidth="1"/>
    <col min="4102" max="4102" width="4.5703125" style="7" bestFit="1" customWidth="1"/>
    <col min="4103" max="4113" width="3.7109375" style="7" customWidth="1"/>
    <col min="4114" max="4114" width="4" style="7" bestFit="1" customWidth="1"/>
    <col min="4115" max="4115" width="6.7109375" style="7" bestFit="1" customWidth="1"/>
    <col min="4116" max="4116" width="11" style="7" bestFit="1" customWidth="1"/>
    <col min="4117" max="4117" width="4" style="7" bestFit="1" customWidth="1"/>
    <col min="4118" max="4118" width="12.7109375" style="7" customWidth="1"/>
    <col min="4119" max="4119" width="12.28515625" style="7" bestFit="1" customWidth="1"/>
    <col min="4120" max="4120" width="23.42578125" style="7" customWidth="1"/>
    <col min="4121" max="4352" width="9.140625" style="7"/>
    <col min="4353" max="4353" width="4.28515625" style="7" customWidth="1"/>
    <col min="4354" max="4354" width="7.5703125" style="7" customWidth="1"/>
    <col min="4355" max="4355" width="12.85546875" style="7" customWidth="1"/>
    <col min="4356" max="4356" width="11.42578125" style="7" customWidth="1"/>
    <col min="4357" max="4357" width="10.7109375" style="7" customWidth="1"/>
    <col min="4358" max="4358" width="4.5703125" style="7" bestFit="1" customWidth="1"/>
    <col min="4359" max="4369" width="3.7109375" style="7" customWidth="1"/>
    <col min="4370" max="4370" width="4" style="7" bestFit="1" customWidth="1"/>
    <col min="4371" max="4371" width="6.7109375" style="7" bestFit="1" customWidth="1"/>
    <col min="4372" max="4372" width="11" style="7" bestFit="1" customWidth="1"/>
    <col min="4373" max="4373" width="4" style="7" bestFit="1" customWidth="1"/>
    <col min="4374" max="4374" width="12.7109375" style="7" customWidth="1"/>
    <col min="4375" max="4375" width="12.28515625" style="7" bestFit="1" customWidth="1"/>
    <col min="4376" max="4376" width="23.42578125" style="7" customWidth="1"/>
    <col min="4377" max="4608" width="9.140625" style="7"/>
    <col min="4609" max="4609" width="4.28515625" style="7" customWidth="1"/>
    <col min="4610" max="4610" width="7.5703125" style="7" customWidth="1"/>
    <col min="4611" max="4611" width="12.85546875" style="7" customWidth="1"/>
    <col min="4612" max="4612" width="11.42578125" style="7" customWidth="1"/>
    <col min="4613" max="4613" width="10.7109375" style="7" customWidth="1"/>
    <col min="4614" max="4614" width="4.5703125" style="7" bestFit="1" customWidth="1"/>
    <col min="4615" max="4625" width="3.7109375" style="7" customWidth="1"/>
    <col min="4626" max="4626" width="4" style="7" bestFit="1" customWidth="1"/>
    <col min="4627" max="4627" width="6.7109375" style="7" bestFit="1" customWidth="1"/>
    <col min="4628" max="4628" width="11" style="7" bestFit="1" customWidth="1"/>
    <col min="4629" max="4629" width="4" style="7" bestFit="1" customWidth="1"/>
    <col min="4630" max="4630" width="12.7109375" style="7" customWidth="1"/>
    <col min="4631" max="4631" width="12.28515625" style="7" bestFit="1" customWidth="1"/>
    <col min="4632" max="4632" width="23.42578125" style="7" customWidth="1"/>
    <col min="4633" max="4864" width="9.140625" style="7"/>
    <col min="4865" max="4865" width="4.28515625" style="7" customWidth="1"/>
    <col min="4866" max="4866" width="7.5703125" style="7" customWidth="1"/>
    <col min="4867" max="4867" width="12.85546875" style="7" customWidth="1"/>
    <col min="4868" max="4868" width="11.42578125" style="7" customWidth="1"/>
    <col min="4869" max="4869" width="10.7109375" style="7" customWidth="1"/>
    <col min="4870" max="4870" width="4.5703125" style="7" bestFit="1" customWidth="1"/>
    <col min="4871" max="4881" width="3.7109375" style="7" customWidth="1"/>
    <col min="4882" max="4882" width="4" style="7" bestFit="1" customWidth="1"/>
    <col min="4883" max="4883" width="6.7109375" style="7" bestFit="1" customWidth="1"/>
    <col min="4884" max="4884" width="11" style="7" bestFit="1" customWidth="1"/>
    <col min="4885" max="4885" width="4" style="7" bestFit="1" customWidth="1"/>
    <col min="4886" max="4886" width="12.7109375" style="7" customWidth="1"/>
    <col min="4887" max="4887" width="12.28515625" style="7" bestFit="1" customWidth="1"/>
    <col min="4888" max="4888" width="23.42578125" style="7" customWidth="1"/>
    <col min="4889" max="5120" width="9.140625" style="7"/>
    <col min="5121" max="5121" width="4.28515625" style="7" customWidth="1"/>
    <col min="5122" max="5122" width="7.5703125" style="7" customWidth="1"/>
    <col min="5123" max="5123" width="12.85546875" style="7" customWidth="1"/>
    <col min="5124" max="5124" width="11.42578125" style="7" customWidth="1"/>
    <col min="5125" max="5125" width="10.7109375" style="7" customWidth="1"/>
    <col min="5126" max="5126" width="4.5703125" style="7" bestFit="1" customWidth="1"/>
    <col min="5127" max="5137" width="3.7109375" style="7" customWidth="1"/>
    <col min="5138" max="5138" width="4" style="7" bestFit="1" customWidth="1"/>
    <col min="5139" max="5139" width="6.7109375" style="7" bestFit="1" customWidth="1"/>
    <col min="5140" max="5140" width="11" style="7" bestFit="1" customWidth="1"/>
    <col min="5141" max="5141" width="4" style="7" bestFit="1" customWidth="1"/>
    <col min="5142" max="5142" width="12.7109375" style="7" customWidth="1"/>
    <col min="5143" max="5143" width="12.28515625" style="7" bestFit="1" customWidth="1"/>
    <col min="5144" max="5144" width="23.42578125" style="7" customWidth="1"/>
    <col min="5145" max="5376" width="9.140625" style="7"/>
    <col min="5377" max="5377" width="4.28515625" style="7" customWidth="1"/>
    <col min="5378" max="5378" width="7.5703125" style="7" customWidth="1"/>
    <col min="5379" max="5379" width="12.85546875" style="7" customWidth="1"/>
    <col min="5380" max="5380" width="11.42578125" style="7" customWidth="1"/>
    <col min="5381" max="5381" width="10.7109375" style="7" customWidth="1"/>
    <col min="5382" max="5382" width="4.5703125" style="7" bestFit="1" customWidth="1"/>
    <col min="5383" max="5393" width="3.7109375" style="7" customWidth="1"/>
    <col min="5394" max="5394" width="4" style="7" bestFit="1" customWidth="1"/>
    <col min="5395" max="5395" width="6.7109375" style="7" bestFit="1" customWidth="1"/>
    <col min="5396" max="5396" width="11" style="7" bestFit="1" customWidth="1"/>
    <col min="5397" max="5397" width="4" style="7" bestFit="1" customWidth="1"/>
    <col min="5398" max="5398" width="12.7109375" style="7" customWidth="1"/>
    <col min="5399" max="5399" width="12.28515625" style="7" bestFit="1" customWidth="1"/>
    <col min="5400" max="5400" width="23.42578125" style="7" customWidth="1"/>
    <col min="5401" max="5632" width="9.140625" style="7"/>
    <col min="5633" max="5633" width="4.28515625" style="7" customWidth="1"/>
    <col min="5634" max="5634" width="7.5703125" style="7" customWidth="1"/>
    <col min="5635" max="5635" width="12.85546875" style="7" customWidth="1"/>
    <col min="5636" max="5636" width="11.42578125" style="7" customWidth="1"/>
    <col min="5637" max="5637" width="10.7109375" style="7" customWidth="1"/>
    <col min="5638" max="5638" width="4.5703125" style="7" bestFit="1" customWidth="1"/>
    <col min="5639" max="5649" width="3.7109375" style="7" customWidth="1"/>
    <col min="5650" max="5650" width="4" style="7" bestFit="1" customWidth="1"/>
    <col min="5651" max="5651" width="6.7109375" style="7" bestFit="1" customWidth="1"/>
    <col min="5652" max="5652" width="11" style="7" bestFit="1" customWidth="1"/>
    <col min="5653" max="5653" width="4" style="7" bestFit="1" customWidth="1"/>
    <col min="5654" max="5654" width="12.7109375" style="7" customWidth="1"/>
    <col min="5655" max="5655" width="12.28515625" style="7" bestFit="1" customWidth="1"/>
    <col min="5656" max="5656" width="23.42578125" style="7" customWidth="1"/>
    <col min="5657" max="5888" width="9.140625" style="7"/>
    <col min="5889" max="5889" width="4.28515625" style="7" customWidth="1"/>
    <col min="5890" max="5890" width="7.5703125" style="7" customWidth="1"/>
    <col min="5891" max="5891" width="12.85546875" style="7" customWidth="1"/>
    <col min="5892" max="5892" width="11.42578125" style="7" customWidth="1"/>
    <col min="5893" max="5893" width="10.7109375" style="7" customWidth="1"/>
    <col min="5894" max="5894" width="4.5703125" style="7" bestFit="1" customWidth="1"/>
    <col min="5895" max="5905" width="3.7109375" style="7" customWidth="1"/>
    <col min="5906" max="5906" width="4" style="7" bestFit="1" customWidth="1"/>
    <col min="5907" max="5907" width="6.7109375" style="7" bestFit="1" customWidth="1"/>
    <col min="5908" max="5908" width="11" style="7" bestFit="1" customWidth="1"/>
    <col min="5909" max="5909" width="4" style="7" bestFit="1" customWidth="1"/>
    <col min="5910" max="5910" width="12.7109375" style="7" customWidth="1"/>
    <col min="5911" max="5911" width="12.28515625" style="7" bestFit="1" customWidth="1"/>
    <col min="5912" max="5912" width="23.42578125" style="7" customWidth="1"/>
    <col min="5913" max="6144" width="9.140625" style="7"/>
    <col min="6145" max="6145" width="4.28515625" style="7" customWidth="1"/>
    <col min="6146" max="6146" width="7.5703125" style="7" customWidth="1"/>
    <col min="6147" max="6147" width="12.85546875" style="7" customWidth="1"/>
    <col min="6148" max="6148" width="11.42578125" style="7" customWidth="1"/>
    <col min="6149" max="6149" width="10.7109375" style="7" customWidth="1"/>
    <col min="6150" max="6150" width="4.5703125" style="7" bestFit="1" customWidth="1"/>
    <col min="6151" max="6161" width="3.7109375" style="7" customWidth="1"/>
    <col min="6162" max="6162" width="4" style="7" bestFit="1" customWidth="1"/>
    <col min="6163" max="6163" width="6.7109375" style="7" bestFit="1" customWidth="1"/>
    <col min="6164" max="6164" width="11" style="7" bestFit="1" customWidth="1"/>
    <col min="6165" max="6165" width="4" style="7" bestFit="1" customWidth="1"/>
    <col min="6166" max="6166" width="12.7109375" style="7" customWidth="1"/>
    <col min="6167" max="6167" width="12.28515625" style="7" bestFit="1" customWidth="1"/>
    <col min="6168" max="6168" width="23.42578125" style="7" customWidth="1"/>
    <col min="6169" max="6400" width="9.140625" style="7"/>
    <col min="6401" max="6401" width="4.28515625" style="7" customWidth="1"/>
    <col min="6402" max="6402" width="7.5703125" style="7" customWidth="1"/>
    <col min="6403" max="6403" width="12.85546875" style="7" customWidth="1"/>
    <col min="6404" max="6404" width="11.42578125" style="7" customWidth="1"/>
    <col min="6405" max="6405" width="10.7109375" style="7" customWidth="1"/>
    <col min="6406" max="6406" width="4.5703125" style="7" bestFit="1" customWidth="1"/>
    <col min="6407" max="6417" width="3.7109375" style="7" customWidth="1"/>
    <col min="6418" max="6418" width="4" style="7" bestFit="1" customWidth="1"/>
    <col min="6419" max="6419" width="6.7109375" style="7" bestFit="1" customWidth="1"/>
    <col min="6420" max="6420" width="11" style="7" bestFit="1" customWidth="1"/>
    <col min="6421" max="6421" width="4" style="7" bestFit="1" customWidth="1"/>
    <col min="6422" max="6422" width="12.7109375" style="7" customWidth="1"/>
    <col min="6423" max="6423" width="12.28515625" style="7" bestFit="1" customWidth="1"/>
    <col min="6424" max="6424" width="23.42578125" style="7" customWidth="1"/>
    <col min="6425" max="6656" width="9.140625" style="7"/>
    <col min="6657" max="6657" width="4.28515625" style="7" customWidth="1"/>
    <col min="6658" max="6658" width="7.5703125" style="7" customWidth="1"/>
    <col min="6659" max="6659" width="12.85546875" style="7" customWidth="1"/>
    <col min="6660" max="6660" width="11.42578125" style="7" customWidth="1"/>
    <col min="6661" max="6661" width="10.7109375" style="7" customWidth="1"/>
    <col min="6662" max="6662" width="4.5703125" style="7" bestFit="1" customWidth="1"/>
    <col min="6663" max="6673" width="3.7109375" style="7" customWidth="1"/>
    <col min="6674" max="6674" width="4" style="7" bestFit="1" customWidth="1"/>
    <col min="6675" max="6675" width="6.7109375" style="7" bestFit="1" customWidth="1"/>
    <col min="6676" max="6676" width="11" style="7" bestFit="1" customWidth="1"/>
    <col min="6677" max="6677" width="4" style="7" bestFit="1" customWidth="1"/>
    <col min="6678" max="6678" width="12.7109375" style="7" customWidth="1"/>
    <col min="6679" max="6679" width="12.28515625" style="7" bestFit="1" customWidth="1"/>
    <col min="6680" max="6680" width="23.42578125" style="7" customWidth="1"/>
    <col min="6681" max="6912" width="9.140625" style="7"/>
    <col min="6913" max="6913" width="4.28515625" style="7" customWidth="1"/>
    <col min="6914" max="6914" width="7.5703125" style="7" customWidth="1"/>
    <col min="6915" max="6915" width="12.85546875" style="7" customWidth="1"/>
    <col min="6916" max="6916" width="11.42578125" style="7" customWidth="1"/>
    <col min="6917" max="6917" width="10.7109375" style="7" customWidth="1"/>
    <col min="6918" max="6918" width="4.5703125" style="7" bestFit="1" customWidth="1"/>
    <col min="6919" max="6929" width="3.7109375" style="7" customWidth="1"/>
    <col min="6930" max="6930" width="4" style="7" bestFit="1" customWidth="1"/>
    <col min="6931" max="6931" width="6.7109375" style="7" bestFit="1" customWidth="1"/>
    <col min="6932" max="6932" width="11" style="7" bestFit="1" customWidth="1"/>
    <col min="6933" max="6933" width="4" style="7" bestFit="1" customWidth="1"/>
    <col min="6934" max="6934" width="12.7109375" style="7" customWidth="1"/>
    <col min="6935" max="6935" width="12.28515625" style="7" bestFit="1" customWidth="1"/>
    <col min="6936" max="6936" width="23.42578125" style="7" customWidth="1"/>
    <col min="6937" max="7168" width="9.140625" style="7"/>
    <col min="7169" max="7169" width="4.28515625" style="7" customWidth="1"/>
    <col min="7170" max="7170" width="7.5703125" style="7" customWidth="1"/>
    <col min="7171" max="7171" width="12.85546875" style="7" customWidth="1"/>
    <col min="7172" max="7172" width="11.42578125" style="7" customWidth="1"/>
    <col min="7173" max="7173" width="10.7109375" style="7" customWidth="1"/>
    <col min="7174" max="7174" width="4.5703125" style="7" bestFit="1" customWidth="1"/>
    <col min="7175" max="7185" width="3.7109375" style="7" customWidth="1"/>
    <col min="7186" max="7186" width="4" style="7" bestFit="1" customWidth="1"/>
    <col min="7187" max="7187" width="6.7109375" style="7" bestFit="1" customWidth="1"/>
    <col min="7188" max="7188" width="11" style="7" bestFit="1" customWidth="1"/>
    <col min="7189" max="7189" width="4" style="7" bestFit="1" customWidth="1"/>
    <col min="7190" max="7190" width="12.7109375" style="7" customWidth="1"/>
    <col min="7191" max="7191" width="12.28515625" style="7" bestFit="1" customWidth="1"/>
    <col min="7192" max="7192" width="23.42578125" style="7" customWidth="1"/>
    <col min="7193" max="7424" width="9.140625" style="7"/>
    <col min="7425" max="7425" width="4.28515625" style="7" customWidth="1"/>
    <col min="7426" max="7426" width="7.5703125" style="7" customWidth="1"/>
    <col min="7427" max="7427" width="12.85546875" style="7" customWidth="1"/>
    <col min="7428" max="7428" width="11.42578125" style="7" customWidth="1"/>
    <col min="7429" max="7429" width="10.7109375" style="7" customWidth="1"/>
    <col min="7430" max="7430" width="4.5703125" style="7" bestFit="1" customWidth="1"/>
    <col min="7431" max="7441" width="3.7109375" style="7" customWidth="1"/>
    <col min="7442" max="7442" width="4" style="7" bestFit="1" customWidth="1"/>
    <col min="7443" max="7443" width="6.7109375" style="7" bestFit="1" customWidth="1"/>
    <col min="7444" max="7444" width="11" style="7" bestFit="1" customWidth="1"/>
    <col min="7445" max="7445" width="4" style="7" bestFit="1" customWidth="1"/>
    <col min="7446" max="7446" width="12.7109375" style="7" customWidth="1"/>
    <col min="7447" max="7447" width="12.28515625" style="7" bestFit="1" customWidth="1"/>
    <col min="7448" max="7448" width="23.42578125" style="7" customWidth="1"/>
    <col min="7449" max="7680" width="9.140625" style="7"/>
    <col min="7681" max="7681" width="4.28515625" style="7" customWidth="1"/>
    <col min="7682" max="7682" width="7.5703125" style="7" customWidth="1"/>
    <col min="7683" max="7683" width="12.85546875" style="7" customWidth="1"/>
    <col min="7684" max="7684" width="11.42578125" style="7" customWidth="1"/>
    <col min="7685" max="7685" width="10.7109375" style="7" customWidth="1"/>
    <col min="7686" max="7686" width="4.5703125" style="7" bestFit="1" customWidth="1"/>
    <col min="7687" max="7697" width="3.7109375" style="7" customWidth="1"/>
    <col min="7698" max="7698" width="4" style="7" bestFit="1" customWidth="1"/>
    <col min="7699" max="7699" width="6.7109375" style="7" bestFit="1" customWidth="1"/>
    <col min="7700" max="7700" width="11" style="7" bestFit="1" customWidth="1"/>
    <col min="7701" max="7701" width="4" style="7" bestFit="1" customWidth="1"/>
    <col min="7702" max="7702" width="12.7109375" style="7" customWidth="1"/>
    <col min="7703" max="7703" width="12.28515625" style="7" bestFit="1" customWidth="1"/>
    <col min="7704" max="7704" width="23.42578125" style="7" customWidth="1"/>
    <col min="7705" max="7936" width="9.140625" style="7"/>
    <col min="7937" max="7937" width="4.28515625" style="7" customWidth="1"/>
    <col min="7938" max="7938" width="7.5703125" style="7" customWidth="1"/>
    <col min="7939" max="7939" width="12.85546875" style="7" customWidth="1"/>
    <col min="7940" max="7940" width="11.42578125" style="7" customWidth="1"/>
    <col min="7941" max="7941" width="10.7109375" style="7" customWidth="1"/>
    <col min="7942" max="7942" width="4.5703125" style="7" bestFit="1" customWidth="1"/>
    <col min="7943" max="7953" width="3.7109375" style="7" customWidth="1"/>
    <col min="7954" max="7954" width="4" style="7" bestFit="1" customWidth="1"/>
    <col min="7955" max="7955" width="6.7109375" style="7" bestFit="1" customWidth="1"/>
    <col min="7956" max="7956" width="11" style="7" bestFit="1" customWidth="1"/>
    <col min="7957" max="7957" width="4" style="7" bestFit="1" customWidth="1"/>
    <col min="7958" max="7958" width="12.7109375" style="7" customWidth="1"/>
    <col min="7959" max="7959" width="12.28515625" style="7" bestFit="1" customWidth="1"/>
    <col min="7960" max="7960" width="23.42578125" style="7" customWidth="1"/>
    <col min="7961" max="8192" width="9.140625" style="7"/>
    <col min="8193" max="8193" width="4.28515625" style="7" customWidth="1"/>
    <col min="8194" max="8194" width="7.5703125" style="7" customWidth="1"/>
    <col min="8195" max="8195" width="12.85546875" style="7" customWidth="1"/>
    <col min="8196" max="8196" width="11.42578125" style="7" customWidth="1"/>
    <col min="8197" max="8197" width="10.7109375" style="7" customWidth="1"/>
    <col min="8198" max="8198" width="4.5703125" style="7" bestFit="1" customWidth="1"/>
    <col min="8199" max="8209" width="3.7109375" style="7" customWidth="1"/>
    <col min="8210" max="8210" width="4" style="7" bestFit="1" customWidth="1"/>
    <col min="8211" max="8211" width="6.7109375" style="7" bestFit="1" customWidth="1"/>
    <col min="8212" max="8212" width="11" style="7" bestFit="1" customWidth="1"/>
    <col min="8213" max="8213" width="4" style="7" bestFit="1" customWidth="1"/>
    <col min="8214" max="8214" width="12.7109375" style="7" customWidth="1"/>
    <col min="8215" max="8215" width="12.28515625" style="7" bestFit="1" customWidth="1"/>
    <col min="8216" max="8216" width="23.42578125" style="7" customWidth="1"/>
    <col min="8217" max="8448" width="9.140625" style="7"/>
    <col min="8449" max="8449" width="4.28515625" style="7" customWidth="1"/>
    <col min="8450" max="8450" width="7.5703125" style="7" customWidth="1"/>
    <col min="8451" max="8451" width="12.85546875" style="7" customWidth="1"/>
    <col min="8452" max="8452" width="11.42578125" style="7" customWidth="1"/>
    <col min="8453" max="8453" width="10.7109375" style="7" customWidth="1"/>
    <col min="8454" max="8454" width="4.5703125" style="7" bestFit="1" customWidth="1"/>
    <col min="8455" max="8465" width="3.7109375" style="7" customWidth="1"/>
    <col min="8466" max="8466" width="4" style="7" bestFit="1" customWidth="1"/>
    <col min="8467" max="8467" width="6.7109375" style="7" bestFit="1" customWidth="1"/>
    <col min="8468" max="8468" width="11" style="7" bestFit="1" customWidth="1"/>
    <col min="8469" max="8469" width="4" style="7" bestFit="1" customWidth="1"/>
    <col min="8470" max="8470" width="12.7109375" style="7" customWidth="1"/>
    <col min="8471" max="8471" width="12.28515625" style="7" bestFit="1" customWidth="1"/>
    <col min="8472" max="8472" width="23.42578125" style="7" customWidth="1"/>
    <col min="8473" max="8704" width="9.140625" style="7"/>
    <col min="8705" max="8705" width="4.28515625" style="7" customWidth="1"/>
    <col min="8706" max="8706" width="7.5703125" style="7" customWidth="1"/>
    <col min="8707" max="8707" width="12.85546875" style="7" customWidth="1"/>
    <col min="8708" max="8708" width="11.42578125" style="7" customWidth="1"/>
    <col min="8709" max="8709" width="10.7109375" style="7" customWidth="1"/>
    <col min="8710" max="8710" width="4.5703125" style="7" bestFit="1" customWidth="1"/>
    <col min="8711" max="8721" width="3.7109375" style="7" customWidth="1"/>
    <col min="8722" max="8722" width="4" style="7" bestFit="1" customWidth="1"/>
    <col min="8723" max="8723" width="6.7109375" style="7" bestFit="1" customWidth="1"/>
    <col min="8724" max="8724" width="11" style="7" bestFit="1" customWidth="1"/>
    <col min="8725" max="8725" width="4" style="7" bestFit="1" customWidth="1"/>
    <col min="8726" max="8726" width="12.7109375" style="7" customWidth="1"/>
    <col min="8727" max="8727" width="12.28515625" style="7" bestFit="1" customWidth="1"/>
    <col min="8728" max="8728" width="23.42578125" style="7" customWidth="1"/>
    <col min="8729" max="8960" width="9.140625" style="7"/>
    <col min="8961" max="8961" width="4.28515625" style="7" customWidth="1"/>
    <col min="8962" max="8962" width="7.5703125" style="7" customWidth="1"/>
    <col min="8963" max="8963" width="12.85546875" style="7" customWidth="1"/>
    <col min="8964" max="8964" width="11.42578125" style="7" customWidth="1"/>
    <col min="8965" max="8965" width="10.7109375" style="7" customWidth="1"/>
    <col min="8966" max="8966" width="4.5703125" style="7" bestFit="1" customWidth="1"/>
    <col min="8967" max="8977" width="3.7109375" style="7" customWidth="1"/>
    <col min="8978" max="8978" width="4" style="7" bestFit="1" customWidth="1"/>
    <col min="8979" max="8979" width="6.7109375" style="7" bestFit="1" customWidth="1"/>
    <col min="8980" max="8980" width="11" style="7" bestFit="1" customWidth="1"/>
    <col min="8981" max="8981" width="4" style="7" bestFit="1" customWidth="1"/>
    <col min="8982" max="8982" width="12.7109375" style="7" customWidth="1"/>
    <col min="8983" max="8983" width="12.28515625" style="7" bestFit="1" customWidth="1"/>
    <col min="8984" max="8984" width="23.42578125" style="7" customWidth="1"/>
    <col min="8985" max="9216" width="9.140625" style="7"/>
    <col min="9217" max="9217" width="4.28515625" style="7" customWidth="1"/>
    <col min="9218" max="9218" width="7.5703125" style="7" customWidth="1"/>
    <col min="9219" max="9219" width="12.85546875" style="7" customWidth="1"/>
    <col min="9220" max="9220" width="11.42578125" style="7" customWidth="1"/>
    <col min="9221" max="9221" width="10.7109375" style="7" customWidth="1"/>
    <col min="9222" max="9222" width="4.5703125" style="7" bestFit="1" customWidth="1"/>
    <col min="9223" max="9233" width="3.7109375" style="7" customWidth="1"/>
    <col min="9234" max="9234" width="4" style="7" bestFit="1" customWidth="1"/>
    <col min="9235" max="9235" width="6.7109375" style="7" bestFit="1" customWidth="1"/>
    <col min="9236" max="9236" width="11" style="7" bestFit="1" customWidth="1"/>
    <col min="9237" max="9237" width="4" style="7" bestFit="1" customWidth="1"/>
    <col min="9238" max="9238" width="12.7109375" style="7" customWidth="1"/>
    <col min="9239" max="9239" width="12.28515625" style="7" bestFit="1" customWidth="1"/>
    <col min="9240" max="9240" width="23.42578125" style="7" customWidth="1"/>
    <col min="9241" max="9472" width="9.140625" style="7"/>
    <col min="9473" max="9473" width="4.28515625" style="7" customWidth="1"/>
    <col min="9474" max="9474" width="7.5703125" style="7" customWidth="1"/>
    <col min="9475" max="9475" width="12.85546875" style="7" customWidth="1"/>
    <col min="9476" max="9476" width="11.42578125" style="7" customWidth="1"/>
    <col min="9477" max="9477" width="10.7109375" style="7" customWidth="1"/>
    <col min="9478" max="9478" width="4.5703125" style="7" bestFit="1" customWidth="1"/>
    <col min="9479" max="9489" width="3.7109375" style="7" customWidth="1"/>
    <col min="9490" max="9490" width="4" style="7" bestFit="1" customWidth="1"/>
    <col min="9491" max="9491" width="6.7109375" style="7" bestFit="1" customWidth="1"/>
    <col min="9492" max="9492" width="11" style="7" bestFit="1" customWidth="1"/>
    <col min="9493" max="9493" width="4" style="7" bestFit="1" customWidth="1"/>
    <col min="9494" max="9494" width="12.7109375" style="7" customWidth="1"/>
    <col min="9495" max="9495" width="12.28515625" style="7" bestFit="1" customWidth="1"/>
    <col min="9496" max="9496" width="23.42578125" style="7" customWidth="1"/>
    <col min="9497" max="9728" width="9.140625" style="7"/>
    <col min="9729" max="9729" width="4.28515625" style="7" customWidth="1"/>
    <col min="9730" max="9730" width="7.5703125" style="7" customWidth="1"/>
    <col min="9731" max="9731" width="12.85546875" style="7" customWidth="1"/>
    <col min="9732" max="9732" width="11.42578125" style="7" customWidth="1"/>
    <col min="9733" max="9733" width="10.7109375" style="7" customWidth="1"/>
    <col min="9734" max="9734" width="4.5703125" style="7" bestFit="1" customWidth="1"/>
    <col min="9735" max="9745" width="3.7109375" style="7" customWidth="1"/>
    <col min="9746" max="9746" width="4" style="7" bestFit="1" customWidth="1"/>
    <col min="9747" max="9747" width="6.7109375" style="7" bestFit="1" customWidth="1"/>
    <col min="9748" max="9748" width="11" style="7" bestFit="1" customWidth="1"/>
    <col min="9749" max="9749" width="4" style="7" bestFit="1" customWidth="1"/>
    <col min="9750" max="9750" width="12.7109375" style="7" customWidth="1"/>
    <col min="9751" max="9751" width="12.28515625" style="7" bestFit="1" customWidth="1"/>
    <col min="9752" max="9752" width="23.42578125" style="7" customWidth="1"/>
    <col min="9753" max="9984" width="9.140625" style="7"/>
    <col min="9985" max="9985" width="4.28515625" style="7" customWidth="1"/>
    <col min="9986" max="9986" width="7.5703125" style="7" customWidth="1"/>
    <col min="9987" max="9987" width="12.85546875" style="7" customWidth="1"/>
    <col min="9988" max="9988" width="11.42578125" style="7" customWidth="1"/>
    <col min="9989" max="9989" width="10.7109375" style="7" customWidth="1"/>
    <col min="9990" max="9990" width="4.5703125" style="7" bestFit="1" customWidth="1"/>
    <col min="9991" max="10001" width="3.7109375" style="7" customWidth="1"/>
    <col min="10002" max="10002" width="4" style="7" bestFit="1" customWidth="1"/>
    <col min="10003" max="10003" width="6.7109375" style="7" bestFit="1" customWidth="1"/>
    <col min="10004" max="10004" width="11" style="7" bestFit="1" customWidth="1"/>
    <col min="10005" max="10005" width="4" style="7" bestFit="1" customWidth="1"/>
    <col min="10006" max="10006" width="12.7109375" style="7" customWidth="1"/>
    <col min="10007" max="10007" width="12.28515625" style="7" bestFit="1" customWidth="1"/>
    <col min="10008" max="10008" width="23.42578125" style="7" customWidth="1"/>
    <col min="10009" max="10240" width="9.140625" style="7"/>
    <col min="10241" max="10241" width="4.28515625" style="7" customWidth="1"/>
    <col min="10242" max="10242" width="7.5703125" style="7" customWidth="1"/>
    <col min="10243" max="10243" width="12.85546875" style="7" customWidth="1"/>
    <col min="10244" max="10244" width="11.42578125" style="7" customWidth="1"/>
    <col min="10245" max="10245" width="10.7109375" style="7" customWidth="1"/>
    <col min="10246" max="10246" width="4.5703125" style="7" bestFit="1" customWidth="1"/>
    <col min="10247" max="10257" width="3.7109375" style="7" customWidth="1"/>
    <col min="10258" max="10258" width="4" style="7" bestFit="1" customWidth="1"/>
    <col min="10259" max="10259" width="6.7109375" style="7" bestFit="1" customWidth="1"/>
    <col min="10260" max="10260" width="11" style="7" bestFit="1" customWidth="1"/>
    <col min="10261" max="10261" width="4" style="7" bestFit="1" customWidth="1"/>
    <col min="10262" max="10262" width="12.7109375" style="7" customWidth="1"/>
    <col min="10263" max="10263" width="12.28515625" style="7" bestFit="1" customWidth="1"/>
    <col min="10264" max="10264" width="23.42578125" style="7" customWidth="1"/>
    <col min="10265" max="10496" width="9.140625" style="7"/>
    <col min="10497" max="10497" width="4.28515625" style="7" customWidth="1"/>
    <col min="10498" max="10498" width="7.5703125" style="7" customWidth="1"/>
    <col min="10499" max="10499" width="12.85546875" style="7" customWidth="1"/>
    <col min="10500" max="10500" width="11.42578125" style="7" customWidth="1"/>
    <col min="10501" max="10501" width="10.7109375" style="7" customWidth="1"/>
    <col min="10502" max="10502" width="4.5703125" style="7" bestFit="1" customWidth="1"/>
    <col min="10503" max="10513" width="3.7109375" style="7" customWidth="1"/>
    <col min="10514" max="10514" width="4" style="7" bestFit="1" customWidth="1"/>
    <col min="10515" max="10515" width="6.7109375" style="7" bestFit="1" customWidth="1"/>
    <col min="10516" max="10516" width="11" style="7" bestFit="1" customWidth="1"/>
    <col min="10517" max="10517" width="4" style="7" bestFit="1" customWidth="1"/>
    <col min="10518" max="10518" width="12.7109375" style="7" customWidth="1"/>
    <col min="10519" max="10519" width="12.28515625" style="7" bestFit="1" customWidth="1"/>
    <col min="10520" max="10520" width="23.42578125" style="7" customWidth="1"/>
    <col min="10521" max="10752" width="9.140625" style="7"/>
    <col min="10753" max="10753" width="4.28515625" style="7" customWidth="1"/>
    <col min="10754" max="10754" width="7.5703125" style="7" customWidth="1"/>
    <col min="10755" max="10755" width="12.85546875" style="7" customWidth="1"/>
    <col min="10756" max="10756" width="11.42578125" style="7" customWidth="1"/>
    <col min="10757" max="10757" width="10.7109375" style="7" customWidth="1"/>
    <col min="10758" max="10758" width="4.5703125" style="7" bestFit="1" customWidth="1"/>
    <col min="10759" max="10769" width="3.7109375" style="7" customWidth="1"/>
    <col min="10770" max="10770" width="4" style="7" bestFit="1" customWidth="1"/>
    <col min="10771" max="10771" width="6.7109375" style="7" bestFit="1" customWidth="1"/>
    <col min="10772" max="10772" width="11" style="7" bestFit="1" customWidth="1"/>
    <col min="10773" max="10773" width="4" style="7" bestFit="1" customWidth="1"/>
    <col min="10774" max="10774" width="12.7109375" style="7" customWidth="1"/>
    <col min="10775" max="10775" width="12.28515625" style="7" bestFit="1" customWidth="1"/>
    <col min="10776" max="10776" width="23.42578125" style="7" customWidth="1"/>
    <col min="10777" max="11008" width="9.140625" style="7"/>
    <col min="11009" max="11009" width="4.28515625" style="7" customWidth="1"/>
    <col min="11010" max="11010" width="7.5703125" style="7" customWidth="1"/>
    <col min="11011" max="11011" width="12.85546875" style="7" customWidth="1"/>
    <col min="11012" max="11012" width="11.42578125" style="7" customWidth="1"/>
    <col min="11013" max="11013" width="10.7109375" style="7" customWidth="1"/>
    <col min="11014" max="11014" width="4.5703125" style="7" bestFit="1" customWidth="1"/>
    <col min="11015" max="11025" width="3.7109375" style="7" customWidth="1"/>
    <col min="11026" max="11026" width="4" style="7" bestFit="1" customWidth="1"/>
    <col min="11027" max="11027" width="6.7109375" style="7" bestFit="1" customWidth="1"/>
    <col min="11028" max="11028" width="11" style="7" bestFit="1" customWidth="1"/>
    <col min="11029" max="11029" width="4" style="7" bestFit="1" customWidth="1"/>
    <col min="11030" max="11030" width="12.7109375" style="7" customWidth="1"/>
    <col min="11031" max="11031" width="12.28515625" style="7" bestFit="1" customWidth="1"/>
    <col min="11032" max="11032" width="23.42578125" style="7" customWidth="1"/>
    <col min="11033" max="11264" width="9.140625" style="7"/>
    <col min="11265" max="11265" width="4.28515625" style="7" customWidth="1"/>
    <col min="11266" max="11266" width="7.5703125" style="7" customWidth="1"/>
    <col min="11267" max="11267" width="12.85546875" style="7" customWidth="1"/>
    <col min="11268" max="11268" width="11.42578125" style="7" customWidth="1"/>
    <col min="11269" max="11269" width="10.7109375" style="7" customWidth="1"/>
    <col min="11270" max="11270" width="4.5703125" style="7" bestFit="1" customWidth="1"/>
    <col min="11271" max="11281" width="3.7109375" style="7" customWidth="1"/>
    <col min="11282" max="11282" width="4" style="7" bestFit="1" customWidth="1"/>
    <col min="11283" max="11283" width="6.7109375" style="7" bestFit="1" customWidth="1"/>
    <col min="11284" max="11284" width="11" style="7" bestFit="1" customWidth="1"/>
    <col min="11285" max="11285" width="4" style="7" bestFit="1" customWidth="1"/>
    <col min="11286" max="11286" width="12.7109375" style="7" customWidth="1"/>
    <col min="11287" max="11287" width="12.28515625" style="7" bestFit="1" customWidth="1"/>
    <col min="11288" max="11288" width="23.42578125" style="7" customWidth="1"/>
    <col min="11289" max="11520" width="9.140625" style="7"/>
    <col min="11521" max="11521" width="4.28515625" style="7" customWidth="1"/>
    <col min="11522" max="11522" width="7.5703125" style="7" customWidth="1"/>
    <col min="11523" max="11523" width="12.85546875" style="7" customWidth="1"/>
    <col min="11524" max="11524" width="11.42578125" style="7" customWidth="1"/>
    <col min="11525" max="11525" width="10.7109375" style="7" customWidth="1"/>
    <col min="11526" max="11526" width="4.5703125" style="7" bestFit="1" customWidth="1"/>
    <col min="11527" max="11537" width="3.7109375" style="7" customWidth="1"/>
    <col min="11538" max="11538" width="4" style="7" bestFit="1" customWidth="1"/>
    <col min="11539" max="11539" width="6.7109375" style="7" bestFit="1" customWidth="1"/>
    <col min="11540" max="11540" width="11" style="7" bestFit="1" customWidth="1"/>
    <col min="11541" max="11541" width="4" style="7" bestFit="1" customWidth="1"/>
    <col min="11542" max="11542" width="12.7109375" style="7" customWidth="1"/>
    <col min="11543" max="11543" width="12.28515625" style="7" bestFit="1" customWidth="1"/>
    <col min="11544" max="11544" width="23.42578125" style="7" customWidth="1"/>
    <col min="11545" max="11776" width="9.140625" style="7"/>
    <col min="11777" max="11777" width="4.28515625" style="7" customWidth="1"/>
    <col min="11778" max="11778" width="7.5703125" style="7" customWidth="1"/>
    <col min="11779" max="11779" width="12.85546875" style="7" customWidth="1"/>
    <col min="11780" max="11780" width="11.42578125" style="7" customWidth="1"/>
    <col min="11781" max="11781" width="10.7109375" style="7" customWidth="1"/>
    <col min="11782" max="11782" width="4.5703125" style="7" bestFit="1" customWidth="1"/>
    <col min="11783" max="11793" width="3.7109375" style="7" customWidth="1"/>
    <col min="11794" max="11794" width="4" style="7" bestFit="1" customWidth="1"/>
    <col min="11795" max="11795" width="6.7109375" style="7" bestFit="1" customWidth="1"/>
    <col min="11796" max="11796" width="11" style="7" bestFit="1" customWidth="1"/>
    <col min="11797" max="11797" width="4" style="7" bestFit="1" customWidth="1"/>
    <col min="11798" max="11798" width="12.7109375" style="7" customWidth="1"/>
    <col min="11799" max="11799" width="12.28515625" style="7" bestFit="1" customWidth="1"/>
    <col min="11800" max="11800" width="23.42578125" style="7" customWidth="1"/>
    <col min="11801" max="12032" width="9.140625" style="7"/>
    <col min="12033" max="12033" width="4.28515625" style="7" customWidth="1"/>
    <col min="12034" max="12034" width="7.5703125" style="7" customWidth="1"/>
    <col min="12035" max="12035" width="12.85546875" style="7" customWidth="1"/>
    <col min="12036" max="12036" width="11.42578125" style="7" customWidth="1"/>
    <col min="12037" max="12037" width="10.7109375" style="7" customWidth="1"/>
    <col min="12038" max="12038" width="4.5703125" style="7" bestFit="1" customWidth="1"/>
    <col min="12039" max="12049" width="3.7109375" style="7" customWidth="1"/>
    <col min="12050" max="12050" width="4" style="7" bestFit="1" customWidth="1"/>
    <col min="12051" max="12051" width="6.7109375" style="7" bestFit="1" customWidth="1"/>
    <col min="12052" max="12052" width="11" style="7" bestFit="1" customWidth="1"/>
    <col min="12053" max="12053" width="4" style="7" bestFit="1" customWidth="1"/>
    <col min="12054" max="12054" width="12.7109375" style="7" customWidth="1"/>
    <col min="12055" max="12055" width="12.28515625" style="7" bestFit="1" customWidth="1"/>
    <col min="12056" max="12056" width="23.42578125" style="7" customWidth="1"/>
    <col min="12057" max="12288" width="9.140625" style="7"/>
    <col min="12289" max="12289" width="4.28515625" style="7" customWidth="1"/>
    <col min="12290" max="12290" width="7.5703125" style="7" customWidth="1"/>
    <col min="12291" max="12291" width="12.85546875" style="7" customWidth="1"/>
    <col min="12292" max="12292" width="11.42578125" style="7" customWidth="1"/>
    <col min="12293" max="12293" width="10.7109375" style="7" customWidth="1"/>
    <col min="12294" max="12294" width="4.5703125" style="7" bestFit="1" customWidth="1"/>
    <col min="12295" max="12305" width="3.7109375" style="7" customWidth="1"/>
    <col min="12306" max="12306" width="4" style="7" bestFit="1" customWidth="1"/>
    <col min="12307" max="12307" width="6.7109375" style="7" bestFit="1" customWidth="1"/>
    <col min="12308" max="12308" width="11" style="7" bestFit="1" customWidth="1"/>
    <col min="12309" max="12309" width="4" style="7" bestFit="1" customWidth="1"/>
    <col min="12310" max="12310" width="12.7109375" style="7" customWidth="1"/>
    <col min="12311" max="12311" width="12.28515625" style="7" bestFit="1" customWidth="1"/>
    <col min="12312" max="12312" width="23.42578125" style="7" customWidth="1"/>
    <col min="12313" max="12544" width="9.140625" style="7"/>
    <col min="12545" max="12545" width="4.28515625" style="7" customWidth="1"/>
    <col min="12546" max="12546" width="7.5703125" style="7" customWidth="1"/>
    <col min="12547" max="12547" width="12.85546875" style="7" customWidth="1"/>
    <col min="12548" max="12548" width="11.42578125" style="7" customWidth="1"/>
    <col min="12549" max="12549" width="10.7109375" style="7" customWidth="1"/>
    <col min="12550" max="12550" width="4.5703125" style="7" bestFit="1" customWidth="1"/>
    <col min="12551" max="12561" width="3.7109375" style="7" customWidth="1"/>
    <col min="12562" max="12562" width="4" style="7" bestFit="1" customWidth="1"/>
    <col min="12563" max="12563" width="6.7109375" style="7" bestFit="1" customWidth="1"/>
    <col min="12564" max="12564" width="11" style="7" bestFit="1" customWidth="1"/>
    <col min="12565" max="12565" width="4" style="7" bestFit="1" customWidth="1"/>
    <col min="12566" max="12566" width="12.7109375" style="7" customWidth="1"/>
    <col min="12567" max="12567" width="12.28515625" style="7" bestFit="1" customWidth="1"/>
    <col min="12568" max="12568" width="23.42578125" style="7" customWidth="1"/>
    <col min="12569" max="12800" width="9.140625" style="7"/>
    <col min="12801" max="12801" width="4.28515625" style="7" customWidth="1"/>
    <col min="12802" max="12802" width="7.5703125" style="7" customWidth="1"/>
    <col min="12803" max="12803" width="12.85546875" style="7" customWidth="1"/>
    <col min="12804" max="12804" width="11.42578125" style="7" customWidth="1"/>
    <col min="12805" max="12805" width="10.7109375" style="7" customWidth="1"/>
    <col min="12806" max="12806" width="4.5703125" style="7" bestFit="1" customWidth="1"/>
    <col min="12807" max="12817" width="3.7109375" style="7" customWidth="1"/>
    <col min="12818" max="12818" width="4" style="7" bestFit="1" customWidth="1"/>
    <col min="12819" max="12819" width="6.7109375" style="7" bestFit="1" customWidth="1"/>
    <col min="12820" max="12820" width="11" style="7" bestFit="1" customWidth="1"/>
    <col min="12821" max="12821" width="4" style="7" bestFit="1" customWidth="1"/>
    <col min="12822" max="12822" width="12.7109375" style="7" customWidth="1"/>
    <col min="12823" max="12823" width="12.28515625" style="7" bestFit="1" customWidth="1"/>
    <col min="12824" max="12824" width="23.42578125" style="7" customWidth="1"/>
    <col min="12825" max="13056" width="9.140625" style="7"/>
    <col min="13057" max="13057" width="4.28515625" style="7" customWidth="1"/>
    <col min="13058" max="13058" width="7.5703125" style="7" customWidth="1"/>
    <col min="13059" max="13059" width="12.85546875" style="7" customWidth="1"/>
    <col min="13060" max="13060" width="11.42578125" style="7" customWidth="1"/>
    <col min="13061" max="13061" width="10.7109375" style="7" customWidth="1"/>
    <col min="13062" max="13062" width="4.5703125" style="7" bestFit="1" customWidth="1"/>
    <col min="13063" max="13073" width="3.7109375" style="7" customWidth="1"/>
    <col min="13074" max="13074" width="4" style="7" bestFit="1" customWidth="1"/>
    <col min="13075" max="13075" width="6.7109375" style="7" bestFit="1" customWidth="1"/>
    <col min="13076" max="13076" width="11" style="7" bestFit="1" customWidth="1"/>
    <col min="13077" max="13077" width="4" style="7" bestFit="1" customWidth="1"/>
    <col min="13078" max="13078" width="12.7109375" style="7" customWidth="1"/>
    <col min="13079" max="13079" width="12.28515625" style="7" bestFit="1" customWidth="1"/>
    <col min="13080" max="13080" width="23.42578125" style="7" customWidth="1"/>
    <col min="13081" max="13312" width="9.140625" style="7"/>
    <col min="13313" max="13313" width="4.28515625" style="7" customWidth="1"/>
    <col min="13314" max="13314" width="7.5703125" style="7" customWidth="1"/>
    <col min="13315" max="13315" width="12.85546875" style="7" customWidth="1"/>
    <col min="13316" max="13316" width="11.42578125" style="7" customWidth="1"/>
    <col min="13317" max="13317" width="10.7109375" style="7" customWidth="1"/>
    <col min="13318" max="13318" width="4.5703125" style="7" bestFit="1" customWidth="1"/>
    <col min="13319" max="13329" width="3.7109375" style="7" customWidth="1"/>
    <col min="13330" max="13330" width="4" style="7" bestFit="1" customWidth="1"/>
    <col min="13331" max="13331" width="6.7109375" style="7" bestFit="1" customWidth="1"/>
    <col min="13332" max="13332" width="11" style="7" bestFit="1" customWidth="1"/>
    <col min="13333" max="13333" width="4" style="7" bestFit="1" customWidth="1"/>
    <col min="13334" max="13334" width="12.7109375" style="7" customWidth="1"/>
    <col min="13335" max="13335" width="12.28515625" style="7" bestFit="1" customWidth="1"/>
    <col min="13336" max="13336" width="23.42578125" style="7" customWidth="1"/>
    <col min="13337" max="13568" width="9.140625" style="7"/>
    <col min="13569" max="13569" width="4.28515625" style="7" customWidth="1"/>
    <col min="13570" max="13570" width="7.5703125" style="7" customWidth="1"/>
    <col min="13571" max="13571" width="12.85546875" style="7" customWidth="1"/>
    <col min="13572" max="13572" width="11.42578125" style="7" customWidth="1"/>
    <col min="13573" max="13573" width="10.7109375" style="7" customWidth="1"/>
    <col min="13574" max="13574" width="4.5703125" style="7" bestFit="1" customWidth="1"/>
    <col min="13575" max="13585" width="3.7109375" style="7" customWidth="1"/>
    <col min="13586" max="13586" width="4" style="7" bestFit="1" customWidth="1"/>
    <col min="13587" max="13587" width="6.7109375" style="7" bestFit="1" customWidth="1"/>
    <col min="13588" max="13588" width="11" style="7" bestFit="1" customWidth="1"/>
    <col min="13589" max="13589" width="4" style="7" bestFit="1" customWidth="1"/>
    <col min="13590" max="13590" width="12.7109375" style="7" customWidth="1"/>
    <col min="13591" max="13591" width="12.28515625" style="7" bestFit="1" customWidth="1"/>
    <col min="13592" max="13592" width="23.42578125" style="7" customWidth="1"/>
    <col min="13593" max="13824" width="9.140625" style="7"/>
    <col min="13825" max="13825" width="4.28515625" style="7" customWidth="1"/>
    <col min="13826" max="13826" width="7.5703125" style="7" customWidth="1"/>
    <col min="13827" max="13827" width="12.85546875" style="7" customWidth="1"/>
    <col min="13828" max="13828" width="11.42578125" style="7" customWidth="1"/>
    <col min="13829" max="13829" width="10.7109375" style="7" customWidth="1"/>
    <col min="13830" max="13830" width="4.5703125" style="7" bestFit="1" customWidth="1"/>
    <col min="13831" max="13841" width="3.7109375" style="7" customWidth="1"/>
    <col min="13842" max="13842" width="4" style="7" bestFit="1" customWidth="1"/>
    <col min="13843" max="13843" width="6.7109375" style="7" bestFit="1" customWidth="1"/>
    <col min="13844" max="13844" width="11" style="7" bestFit="1" customWidth="1"/>
    <col min="13845" max="13845" width="4" style="7" bestFit="1" customWidth="1"/>
    <col min="13846" max="13846" width="12.7109375" style="7" customWidth="1"/>
    <col min="13847" max="13847" width="12.28515625" style="7" bestFit="1" customWidth="1"/>
    <col min="13848" max="13848" width="23.42578125" style="7" customWidth="1"/>
    <col min="13849" max="14080" width="9.140625" style="7"/>
    <col min="14081" max="14081" width="4.28515625" style="7" customWidth="1"/>
    <col min="14082" max="14082" width="7.5703125" style="7" customWidth="1"/>
    <col min="14083" max="14083" width="12.85546875" style="7" customWidth="1"/>
    <col min="14084" max="14084" width="11.42578125" style="7" customWidth="1"/>
    <col min="14085" max="14085" width="10.7109375" style="7" customWidth="1"/>
    <col min="14086" max="14086" width="4.5703125" style="7" bestFit="1" customWidth="1"/>
    <col min="14087" max="14097" width="3.7109375" style="7" customWidth="1"/>
    <col min="14098" max="14098" width="4" style="7" bestFit="1" customWidth="1"/>
    <col min="14099" max="14099" width="6.7109375" style="7" bestFit="1" customWidth="1"/>
    <col min="14100" max="14100" width="11" style="7" bestFit="1" customWidth="1"/>
    <col min="14101" max="14101" width="4" style="7" bestFit="1" customWidth="1"/>
    <col min="14102" max="14102" width="12.7109375" style="7" customWidth="1"/>
    <col min="14103" max="14103" width="12.28515625" style="7" bestFit="1" customWidth="1"/>
    <col min="14104" max="14104" width="23.42578125" style="7" customWidth="1"/>
    <col min="14105" max="14336" width="9.140625" style="7"/>
    <col min="14337" max="14337" width="4.28515625" style="7" customWidth="1"/>
    <col min="14338" max="14338" width="7.5703125" style="7" customWidth="1"/>
    <col min="14339" max="14339" width="12.85546875" style="7" customWidth="1"/>
    <col min="14340" max="14340" width="11.42578125" style="7" customWidth="1"/>
    <col min="14341" max="14341" width="10.7109375" style="7" customWidth="1"/>
    <col min="14342" max="14342" width="4.5703125" style="7" bestFit="1" customWidth="1"/>
    <col min="14343" max="14353" width="3.7109375" style="7" customWidth="1"/>
    <col min="14354" max="14354" width="4" style="7" bestFit="1" customWidth="1"/>
    <col min="14355" max="14355" width="6.7109375" style="7" bestFit="1" customWidth="1"/>
    <col min="14356" max="14356" width="11" style="7" bestFit="1" customWidth="1"/>
    <col min="14357" max="14357" width="4" style="7" bestFit="1" customWidth="1"/>
    <col min="14358" max="14358" width="12.7109375" style="7" customWidth="1"/>
    <col min="14359" max="14359" width="12.28515625" style="7" bestFit="1" customWidth="1"/>
    <col min="14360" max="14360" width="23.42578125" style="7" customWidth="1"/>
    <col min="14361" max="14592" width="9.140625" style="7"/>
    <col min="14593" max="14593" width="4.28515625" style="7" customWidth="1"/>
    <col min="14594" max="14594" width="7.5703125" style="7" customWidth="1"/>
    <col min="14595" max="14595" width="12.85546875" style="7" customWidth="1"/>
    <col min="14596" max="14596" width="11.42578125" style="7" customWidth="1"/>
    <col min="14597" max="14597" width="10.7109375" style="7" customWidth="1"/>
    <col min="14598" max="14598" width="4.5703125" style="7" bestFit="1" customWidth="1"/>
    <col min="14599" max="14609" width="3.7109375" style="7" customWidth="1"/>
    <col min="14610" max="14610" width="4" style="7" bestFit="1" customWidth="1"/>
    <col min="14611" max="14611" width="6.7109375" style="7" bestFit="1" customWidth="1"/>
    <col min="14612" max="14612" width="11" style="7" bestFit="1" customWidth="1"/>
    <col min="14613" max="14613" width="4" style="7" bestFit="1" customWidth="1"/>
    <col min="14614" max="14614" width="12.7109375" style="7" customWidth="1"/>
    <col min="14615" max="14615" width="12.28515625" style="7" bestFit="1" customWidth="1"/>
    <col min="14616" max="14616" width="23.42578125" style="7" customWidth="1"/>
    <col min="14617" max="14848" width="9.140625" style="7"/>
    <col min="14849" max="14849" width="4.28515625" style="7" customWidth="1"/>
    <col min="14850" max="14850" width="7.5703125" style="7" customWidth="1"/>
    <col min="14851" max="14851" width="12.85546875" style="7" customWidth="1"/>
    <col min="14852" max="14852" width="11.42578125" style="7" customWidth="1"/>
    <col min="14853" max="14853" width="10.7109375" style="7" customWidth="1"/>
    <col min="14854" max="14854" width="4.5703125" style="7" bestFit="1" customWidth="1"/>
    <col min="14855" max="14865" width="3.7109375" style="7" customWidth="1"/>
    <col min="14866" max="14866" width="4" style="7" bestFit="1" customWidth="1"/>
    <col min="14867" max="14867" width="6.7109375" style="7" bestFit="1" customWidth="1"/>
    <col min="14868" max="14868" width="11" style="7" bestFit="1" customWidth="1"/>
    <col min="14869" max="14869" width="4" style="7" bestFit="1" customWidth="1"/>
    <col min="14870" max="14870" width="12.7109375" style="7" customWidth="1"/>
    <col min="14871" max="14871" width="12.28515625" style="7" bestFit="1" customWidth="1"/>
    <col min="14872" max="14872" width="23.42578125" style="7" customWidth="1"/>
    <col min="14873" max="15104" width="9.140625" style="7"/>
    <col min="15105" max="15105" width="4.28515625" style="7" customWidth="1"/>
    <col min="15106" max="15106" width="7.5703125" style="7" customWidth="1"/>
    <col min="15107" max="15107" width="12.85546875" style="7" customWidth="1"/>
    <col min="15108" max="15108" width="11.42578125" style="7" customWidth="1"/>
    <col min="15109" max="15109" width="10.7109375" style="7" customWidth="1"/>
    <col min="15110" max="15110" width="4.5703125" style="7" bestFit="1" customWidth="1"/>
    <col min="15111" max="15121" width="3.7109375" style="7" customWidth="1"/>
    <col min="15122" max="15122" width="4" style="7" bestFit="1" customWidth="1"/>
    <col min="15123" max="15123" width="6.7109375" style="7" bestFit="1" customWidth="1"/>
    <col min="15124" max="15124" width="11" style="7" bestFit="1" customWidth="1"/>
    <col min="15125" max="15125" width="4" style="7" bestFit="1" customWidth="1"/>
    <col min="15126" max="15126" width="12.7109375" style="7" customWidth="1"/>
    <col min="15127" max="15127" width="12.28515625" style="7" bestFit="1" customWidth="1"/>
    <col min="15128" max="15128" width="23.42578125" style="7" customWidth="1"/>
    <col min="15129" max="15360" width="9.140625" style="7"/>
    <col min="15361" max="15361" width="4.28515625" style="7" customWidth="1"/>
    <col min="15362" max="15362" width="7.5703125" style="7" customWidth="1"/>
    <col min="15363" max="15363" width="12.85546875" style="7" customWidth="1"/>
    <col min="15364" max="15364" width="11.42578125" style="7" customWidth="1"/>
    <col min="15365" max="15365" width="10.7109375" style="7" customWidth="1"/>
    <col min="15366" max="15366" width="4.5703125" style="7" bestFit="1" customWidth="1"/>
    <col min="15367" max="15377" width="3.7109375" style="7" customWidth="1"/>
    <col min="15378" max="15378" width="4" style="7" bestFit="1" customWidth="1"/>
    <col min="15379" max="15379" width="6.7109375" style="7" bestFit="1" customWidth="1"/>
    <col min="15380" max="15380" width="11" style="7" bestFit="1" customWidth="1"/>
    <col min="15381" max="15381" width="4" style="7" bestFit="1" customWidth="1"/>
    <col min="15382" max="15382" width="12.7109375" style="7" customWidth="1"/>
    <col min="15383" max="15383" width="12.28515625" style="7" bestFit="1" customWidth="1"/>
    <col min="15384" max="15384" width="23.42578125" style="7" customWidth="1"/>
    <col min="15385" max="15616" width="9.140625" style="7"/>
    <col min="15617" max="15617" width="4.28515625" style="7" customWidth="1"/>
    <col min="15618" max="15618" width="7.5703125" style="7" customWidth="1"/>
    <col min="15619" max="15619" width="12.85546875" style="7" customWidth="1"/>
    <col min="15620" max="15620" width="11.42578125" style="7" customWidth="1"/>
    <col min="15621" max="15621" width="10.7109375" style="7" customWidth="1"/>
    <col min="15622" max="15622" width="4.5703125" style="7" bestFit="1" customWidth="1"/>
    <col min="15623" max="15633" width="3.7109375" style="7" customWidth="1"/>
    <col min="15634" max="15634" width="4" style="7" bestFit="1" customWidth="1"/>
    <col min="15635" max="15635" width="6.7109375" style="7" bestFit="1" customWidth="1"/>
    <col min="15636" max="15636" width="11" style="7" bestFit="1" customWidth="1"/>
    <col min="15637" max="15637" width="4" style="7" bestFit="1" customWidth="1"/>
    <col min="15638" max="15638" width="12.7109375" style="7" customWidth="1"/>
    <col min="15639" max="15639" width="12.28515625" style="7" bestFit="1" customWidth="1"/>
    <col min="15640" max="15640" width="23.42578125" style="7" customWidth="1"/>
    <col min="15641" max="15872" width="9.140625" style="7"/>
    <col min="15873" max="15873" width="4.28515625" style="7" customWidth="1"/>
    <col min="15874" max="15874" width="7.5703125" style="7" customWidth="1"/>
    <col min="15875" max="15875" width="12.85546875" style="7" customWidth="1"/>
    <col min="15876" max="15876" width="11.42578125" style="7" customWidth="1"/>
    <col min="15877" max="15877" width="10.7109375" style="7" customWidth="1"/>
    <col min="15878" max="15878" width="4.5703125" style="7" bestFit="1" customWidth="1"/>
    <col min="15879" max="15889" width="3.7109375" style="7" customWidth="1"/>
    <col min="15890" max="15890" width="4" style="7" bestFit="1" customWidth="1"/>
    <col min="15891" max="15891" width="6.7109375" style="7" bestFit="1" customWidth="1"/>
    <col min="15892" max="15892" width="11" style="7" bestFit="1" customWidth="1"/>
    <col min="15893" max="15893" width="4" style="7" bestFit="1" customWidth="1"/>
    <col min="15894" max="15894" width="12.7109375" style="7" customWidth="1"/>
    <col min="15895" max="15895" width="12.28515625" style="7" bestFit="1" customWidth="1"/>
    <col min="15896" max="15896" width="23.42578125" style="7" customWidth="1"/>
    <col min="15897" max="16128" width="9.140625" style="7"/>
    <col min="16129" max="16129" width="4.28515625" style="7" customWidth="1"/>
    <col min="16130" max="16130" width="7.5703125" style="7" customWidth="1"/>
    <col min="16131" max="16131" width="12.85546875" style="7" customWidth="1"/>
    <col min="16132" max="16132" width="11.42578125" style="7" customWidth="1"/>
    <col min="16133" max="16133" width="10.7109375" style="7" customWidth="1"/>
    <col min="16134" max="16134" width="4.5703125" style="7" bestFit="1" customWidth="1"/>
    <col min="16135" max="16145" width="3.7109375" style="7" customWidth="1"/>
    <col min="16146" max="16146" width="4" style="7" bestFit="1" customWidth="1"/>
    <col min="16147" max="16147" width="6.7109375" style="7" bestFit="1" customWidth="1"/>
    <col min="16148" max="16148" width="11" style="7" bestFit="1" customWidth="1"/>
    <col min="16149" max="16149" width="4" style="7" bestFit="1" customWidth="1"/>
    <col min="16150" max="16150" width="12.7109375" style="7" customWidth="1"/>
    <col min="16151" max="16151" width="12.28515625" style="7" bestFit="1" customWidth="1"/>
    <col min="16152" max="16152" width="23.42578125" style="7" customWidth="1"/>
    <col min="16153" max="16384" width="9.140625" style="7"/>
  </cols>
  <sheetData>
    <row r="2" spans="2:20" ht="15.75" x14ac:dyDescent="0.25">
      <c r="B2" s="618" t="s">
        <v>527</v>
      </c>
      <c r="C2" s="619"/>
      <c r="D2" s="619"/>
      <c r="E2" s="619"/>
      <c r="F2" s="619"/>
      <c r="G2" s="619"/>
      <c r="H2" s="619"/>
      <c r="I2" s="619"/>
      <c r="J2" s="619"/>
      <c r="K2" s="619"/>
      <c r="L2" s="619"/>
      <c r="M2" s="619"/>
      <c r="N2" s="619"/>
      <c r="O2" s="619"/>
      <c r="P2" s="620"/>
      <c r="T2" s="315"/>
    </row>
    <row r="3" spans="2:20" x14ac:dyDescent="0.2">
      <c r="D3" s="7"/>
      <c r="L3" s="3"/>
      <c r="M3" s="3"/>
      <c r="N3" s="3"/>
      <c r="O3" s="11"/>
      <c r="T3" s="315"/>
    </row>
    <row r="4" spans="2:20" x14ac:dyDescent="0.2">
      <c r="B4" s="8"/>
      <c r="C4" s="317"/>
      <c r="D4" s="317"/>
      <c r="E4" s="318"/>
      <c r="F4" s="317"/>
      <c r="G4" s="317"/>
      <c r="H4" s="317"/>
      <c r="I4" s="317"/>
      <c r="J4" s="317"/>
      <c r="K4" s="317"/>
      <c r="L4" s="319"/>
      <c r="M4" s="319"/>
      <c r="N4" s="319"/>
      <c r="O4" s="320"/>
      <c r="P4" s="321"/>
      <c r="T4" s="315"/>
    </row>
    <row r="5" spans="2:20" x14ac:dyDescent="0.2">
      <c r="B5" s="14"/>
      <c r="C5" s="322" t="s">
        <v>528</v>
      </c>
      <c r="L5" s="3"/>
      <c r="M5" s="3"/>
      <c r="N5" s="3"/>
      <c r="O5" s="11"/>
      <c r="P5" s="33"/>
      <c r="T5" s="315"/>
    </row>
    <row r="6" spans="2:20" x14ac:dyDescent="0.2">
      <c r="B6" s="14"/>
      <c r="C6" s="324" t="s">
        <v>19</v>
      </c>
      <c r="D6" s="325" t="s">
        <v>20</v>
      </c>
      <c r="E6" s="326">
        <v>34.119999999999997</v>
      </c>
      <c r="G6" s="327"/>
      <c r="L6" s="3"/>
      <c r="M6" s="3"/>
      <c r="N6" s="3"/>
      <c r="O6" s="11"/>
      <c r="P6" s="33"/>
      <c r="T6" s="315"/>
    </row>
    <row r="7" spans="2:20" x14ac:dyDescent="0.2">
      <c r="B7" s="14"/>
      <c r="C7" s="328" t="s">
        <v>529</v>
      </c>
      <c r="D7" s="5" t="s">
        <v>530</v>
      </c>
      <c r="E7" s="329">
        <v>75.27</v>
      </c>
      <c r="G7" s="327"/>
      <c r="L7" s="3"/>
      <c r="M7" s="3"/>
      <c r="N7" s="3"/>
      <c r="O7" s="11"/>
      <c r="P7" s="33"/>
      <c r="T7" s="315"/>
    </row>
    <row r="8" spans="2:20" x14ac:dyDescent="0.2">
      <c r="B8" s="14"/>
      <c r="G8" s="327"/>
      <c r="H8" s="4"/>
      <c r="I8" s="621"/>
      <c r="J8" s="621"/>
      <c r="K8" s="621"/>
      <c r="L8" s="3"/>
      <c r="M8" s="3"/>
      <c r="N8" s="3"/>
      <c r="O8" s="11"/>
      <c r="P8" s="33"/>
      <c r="T8" s="315"/>
    </row>
    <row r="9" spans="2:20" x14ac:dyDescent="0.2">
      <c r="B9" s="14"/>
      <c r="C9" s="327" t="s">
        <v>531</v>
      </c>
      <c r="L9" s="3"/>
      <c r="M9" s="3"/>
      <c r="N9" s="3"/>
      <c r="O9" s="11"/>
      <c r="P9" s="33"/>
      <c r="T9" s="315"/>
    </row>
    <row r="10" spans="2:20" x14ac:dyDescent="0.2">
      <c r="B10" s="14"/>
      <c r="C10" s="331" t="s">
        <v>5</v>
      </c>
      <c r="D10" s="325" t="s">
        <v>0</v>
      </c>
      <c r="E10" s="332">
        <f>14*2.54*10</f>
        <v>355.6</v>
      </c>
      <c r="F10" s="333"/>
      <c r="G10" s="333"/>
      <c r="H10" s="4"/>
      <c r="I10" s="330"/>
      <c r="J10" s="330"/>
      <c r="K10" s="330"/>
      <c r="L10" s="3"/>
      <c r="M10" s="3"/>
      <c r="N10" s="3"/>
      <c r="O10" s="11"/>
      <c r="P10" s="33"/>
      <c r="T10" s="315"/>
    </row>
    <row r="11" spans="2:20" x14ac:dyDescent="0.2">
      <c r="B11" s="14"/>
      <c r="C11" s="334" t="s">
        <v>532</v>
      </c>
      <c r="D11" s="4" t="s">
        <v>21</v>
      </c>
      <c r="E11" s="332">
        <f>14*2.54*10</f>
        <v>355.6</v>
      </c>
      <c r="F11" s="333"/>
      <c r="G11" s="333"/>
      <c r="H11" s="4"/>
      <c r="I11" s="330"/>
      <c r="J11" s="330"/>
      <c r="K11" s="330"/>
      <c r="L11" s="3"/>
      <c r="M11" s="3"/>
      <c r="N11" s="3"/>
      <c r="O11" s="11"/>
      <c r="P11" s="33"/>
      <c r="T11" s="315"/>
    </row>
    <row r="12" spans="2:20" x14ac:dyDescent="0.2">
      <c r="B12" s="14"/>
      <c r="C12" s="335" t="s">
        <v>533</v>
      </c>
      <c r="D12" s="5" t="s">
        <v>534</v>
      </c>
      <c r="E12" s="336">
        <v>3.048</v>
      </c>
      <c r="F12" s="337"/>
      <c r="G12" s="337"/>
      <c r="H12" s="4"/>
      <c r="I12" s="330"/>
      <c r="J12" s="330"/>
      <c r="K12" s="330"/>
      <c r="L12" s="3"/>
      <c r="M12" s="3"/>
      <c r="N12" s="3"/>
      <c r="O12" s="11"/>
      <c r="P12" s="33"/>
      <c r="T12" s="315"/>
    </row>
    <row r="13" spans="2:20" ht="12.75" customHeight="1" x14ac:dyDescent="0.2">
      <c r="B13" s="14"/>
      <c r="L13" s="3"/>
      <c r="M13" s="3"/>
      <c r="N13" s="3"/>
      <c r="O13" s="11"/>
      <c r="P13" s="33"/>
      <c r="T13" s="315"/>
    </row>
    <row r="14" spans="2:20" x14ac:dyDescent="0.2">
      <c r="B14" s="14"/>
      <c r="C14" s="327" t="s">
        <v>535</v>
      </c>
      <c r="D14" s="327"/>
      <c r="L14" s="3"/>
      <c r="M14" s="3"/>
      <c r="N14" s="3"/>
      <c r="O14" s="11"/>
      <c r="P14" s="33"/>
      <c r="T14" s="315"/>
    </row>
    <row r="15" spans="2:20" x14ac:dyDescent="0.2">
      <c r="B15" s="14"/>
      <c r="C15" s="331" t="s">
        <v>50</v>
      </c>
      <c r="D15" s="325" t="s">
        <v>23</v>
      </c>
      <c r="E15" s="338">
        <v>20</v>
      </c>
      <c r="L15" s="3"/>
      <c r="M15" s="3"/>
      <c r="N15" s="3"/>
      <c r="O15" s="11"/>
      <c r="P15" s="33"/>
      <c r="T15" s="4"/>
    </row>
    <row r="16" spans="2:20" ht="12.75" customHeight="1" x14ac:dyDescent="0.2">
      <c r="B16" s="14"/>
      <c r="C16" s="335" t="s">
        <v>536</v>
      </c>
      <c r="D16" s="5" t="s">
        <v>25</v>
      </c>
      <c r="E16" s="338">
        <v>500</v>
      </c>
      <c r="L16" s="3"/>
      <c r="M16" s="3"/>
      <c r="N16" s="3"/>
      <c r="O16" s="11"/>
      <c r="P16" s="33"/>
      <c r="T16" s="616"/>
    </row>
    <row r="17" spans="2:20" x14ac:dyDescent="0.2">
      <c r="B17" s="14"/>
      <c r="L17" s="3"/>
      <c r="M17" s="3"/>
      <c r="N17" s="3"/>
      <c r="O17" s="11"/>
      <c r="P17" s="33"/>
      <c r="T17" s="616"/>
    </row>
    <row r="18" spans="2:20" ht="12.75" customHeight="1" x14ac:dyDescent="0.2">
      <c r="B18" s="14"/>
      <c r="C18" s="339" t="s">
        <v>537</v>
      </c>
      <c r="D18" s="340">
        <f>(E6*1000)/(E15*E10*E11)</f>
        <v>1.349135351331927E-2</v>
      </c>
      <c r="E18" s="7"/>
      <c r="G18" s="622" t="s">
        <v>538</v>
      </c>
      <c r="H18" s="622"/>
      <c r="I18" s="622"/>
      <c r="J18" s="622"/>
      <c r="K18" s="622"/>
      <c r="L18" s="622"/>
      <c r="M18" s="622"/>
      <c r="N18" s="3"/>
      <c r="O18" s="11"/>
      <c r="P18" s="33"/>
      <c r="T18" s="616"/>
    </row>
    <row r="19" spans="2:20" ht="14.25" x14ac:dyDescent="0.2">
      <c r="B19" s="14"/>
      <c r="C19" s="23" t="s">
        <v>539</v>
      </c>
      <c r="D19" s="340">
        <f>(E7*1000000)/(20*230*600*600)</f>
        <v>4.5452898550724638E-2</v>
      </c>
      <c r="E19" s="7"/>
      <c r="G19" s="341" t="s">
        <v>540</v>
      </c>
      <c r="H19" s="614">
        <f>((E12*100)/500)+((E10/10)/30)</f>
        <v>1.7949333333333333</v>
      </c>
      <c r="I19" s="614"/>
      <c r="J19" s="614"/>
      <c r="K19" s="615" t="str">
        <f>IF((H19/E10)&lt;0.05,"OK","&gt; 0.05 * b")</f>
        <v>OK</v>
      </c>
      <c r="L19" s="615"/>
      <c r="M19" s="615"/>
      <c r="N19" s="3"/>
      <c r="O19" s="11"/>
      <c r="P19" s="33"/>
      <c r="T19" s="616"/>
    </row>
    <row r="20" spans="2:20" x14ac:dyDescent="0.2">
      <c r="B20" s="14"/>
      <c r="C20" s="339" t="s">
        <v>541</v>
      </c>
      <c r="D20" s="342">
        <f>IF(I8/E11&lt;=0.05,0.05,IF(I8/E11&lt;=0.1,0.1,IF(I8/E11&lt;=0.15,0.15,IF(I8/E11&lt;=0.2,0.2))))</f>
        <v>0.05</v>
      </c>
      <c r="E20" s="7"/>
      <c r="G20" s="341" t="s">
        <v>542</v>
      </c>
      <c r="H20" s="614">
        <f>((E12*100)/500)+((E11/10)/30)</f>
        <v>1.7949333333333333</v>
      </c>
      <c r="I20" s="614"/>
      <c r="J20" s="614"/>
      <c r="K20" s="615" t="str">
        <f>IF((H20/E11)&lt;0.05,"OK","&gt; 0.05 * d")</f>
        <v>OK</v>
      </c>
      <c r="L20" s="615"/>
      <c r="M20" s="615"/>
      <c r="N20" s="3"/>
      <c r="O20" s="11"/>
      <c r="P20" s="33"/>
      <c r="T20" s="616"/>
    </row>
    <row r="21" spans="2:20" x14ac:dyDescent="0.2">
      <c r="B21" s="14"/>
      <c r="C21" s="323"/>
      <c r="D21" s="343"/>
      <c r="E21" s="7"/>
      <c r="L21" s="3"/>
      <c r="M21" s="3"/>
      <c r="N21" s="3"/>
      <c r="O21" s="11"/>
      <c r="P21" s="33"/>
      <c r="T21" s="616"/>
    </row>
    <row r="22" spans="2:20" x14ac:dyDescent="0.2">
      <c r="B22" s="14"/>
      <c r="D22" s="7"/>
      <c r="L22" s="3"/>
      <c r="M22" s="3"/>
      <c r="N22" s="3"/>
      <c r="O22" s="11"/>
      <c r="P22" s="33"/>
      <c r="T22" s="616"/>
    </row>
    <row r="23" spans="2:20" x14ac:dyDescent="0.2">
      <c r="B23" s="344"/>
      <c r="C23" s="345" t="str">
        <f>CONCATENATE("Refer ",C61," of SP 16, Page no: ",D61,)</f>
        <v>Refer Chart 35 of SP 16, Page no: 120</v>
      </c>
      <c r="D23" s="7"/>
      <c r="E23" s="346"/>
      <c r="L23" s="3"/>
      <c r="M23" s="3"/>
      <c r="N23" s="3"/>
      <c r="O23" s="11"/>
      <c r="P23" s="33"/>
      <c r="T23" s="616"/>
    </row>
    <row r="24" spans="2:20" x14ac:dyDescent="0.2">
      <c r="B24" s="14"/>
      <c r="D24" s="7"/>
      <c r="L24" s="3"/>
      <c r="M24" s="3"/>
      <c r="N24" s="3"/>
      <c r="O24" s="11"/>
      <c r="P24" s="33"/>
      <c r="T24" s="315"/>
    </row>
    <row r="25" spans="2:20" x14ac:dyDescent="0.2">
      <c r="B25" s="14"/>
      <c r="C25" s="4" t="s">
        <v>543</v>
      </c>
      <c r="D25" s="347">
        <v>0.02</v>
      </c>
      <c r="L25" s="3"/>
      <c r="M25" s="3"/>
      <c r="N25" s="3"/>
      <c r="O25" s="11"/>
      <c r="P25" s="33"/>
      <c r="T25" s="315"/>
    </row>
    <row r="26" spans="2:20" x14ac:dyDescent="0.2">
      <c r="B26" s="14"/>
      <c r="C26" s="4"/>
      <c r="D26" s="348"/>
      <c r="L26" s="3"/>
      <c r="M26" s="3"/>
      <c r="N26" s="3"/>
      <c r="O26" s="11"/>
      <c r="P26" s="33"/>
      <c r="T26" s="315"/>
    </row>
    <row r="27" spans="2:20" x14ac:dyDescent="0.2">
      <c r="B27" s="14"/>
      <c r="C27" s="341" t="s">
        <v>544</v>
      </c>
      <c r="D27" s="349">
        <f>D25*E15</f>
        <v>0.4</v>
      </c>
      <c r="L27" s="3"/>
      <c r="M27" s="3"/>
      <c r="N27" s="3"/>
      <c r="O27" s="11"/>
      <c r="P27" s="33"/>
      <c r="T27" s="315"/>
    </row>
    <row r="28" spans="2:20" x14ac:dyDescent="0.2">
      <c r="B28" s="14"/>
      <c r="C28" s="341" t="s">
        <v>1</v>
      </c>
      <c r="D28" s="350">
        <f>(D27*E10*E11)/100</f>
        <v>505.80544000000009</v>
      </c>
      <c r="E28" s="351"/>
      <c r="F28" s="351"/>
      <c r="G28" s="351"/>
      <c r="L28" s="3"/>
      <c r="M28" s="3"/>
      <c r="N28" s="3"/>
      <c r="O28" s="11"/>
      <c r="P28" s="33"/>
      <c r="T28" s="315"/>
    </row>
    <row r="29" spans="2:20" x14ac:dyDescent="0.2">
      <c r="B29" s="14"/>
      <c r="D29" s="7"/>
      <c r="E29" s="7"/>
      <c r="L29" s="3"/>
      <c r="M29" s="3"/>
      <c r="N29" s="3"/>
      <c r="O29" s="11"/>
      <c r="P29" s="33"/>
      <c r="T29" s="315"/>
    </row>
    <row r="30" spans="2:20" x14ac:dyDescent="0.2">
      <c r="B30" s="14"/>
      <c r="D30" s="11"/>
      <c r="L30" s="3"/>
      <c r="M30" s="3"/>
      <c r="N30" s="3"/>
      <c r="O30" s="11"/>
      <c r="P30" s="33"/>
      <c r="T30" s="352"/>
    </row>
    <row r="31" spans="2:20" x14ac:dyDescent="0.2">
      <c r="B31" s="14"/>
      <c r="C31" s="31" t="s">
        <v>545</v>
      </c>
      <c r="D31" s="11"/>
      <c r="G31" s="31"/>
      <c r="L31" s="3"/>
      <c r="M31" s="3"/>
      <c r="N31" s="3"/>
      <c r="O31" s="11"/>
      <c r="P31" s="33"/>
      <c r="T31" s="315"/>
    </row>
    <row r="32" spans="2:20" x14ac:dyDescent="0.2">
      <c r="B32" s="14"/>
      <c r="C32" s="341" t="s">
        <v>546</v>
      </c>
      <c r="D32" s="341" t="s">
        <v>547</v>
      </c>
      <c r="E32" s="353" t="s">
        <v>548</v>
      </c>
      <c r="H32" s="31"/>
      <c r="I32" s="31"/>
      <c r="J32" s="31"/>
      <c r="K32" s="31"/>
      <c r="L32" s="31"/>
      <c r="M32" s="31"/>
      <c r="N32" s="31"/>
      <c r="O32" s="31"/>
      <c r="P32" s="33"/>
      <c r="T32" s="315"/>
    </row>
    <row r="33" spans="2:20" s="327" customFormat="1" ht="24.75" x14ac:dyDescent="0.2">
      <c r="B33" s="354"/>
      <c r="C33" s="355">
        <v>16</v>
      </c>
      <c r="D33" s="356">
        <v>8</v>
      </c>
      <c r="E33" s="357">
        <f>IF(C33="-","",(((PI()/4)*C33*C33)*D33))</f>
        <v>1608.4954386379741</v>
      </c>
      <c r="G33" s="358" t="s">
        <v>549</v>
      </c>
      <c r="H33" s="359" t="str">
        <f>IF(D34=6,"●",IF(D34=4,"●",""))</f>
        <v/>
      </c>
      <c r="I33" s="360" t="str">
        <f>IF(D35=6,"●",IF(D35=4,"●",""))</f>
        <v/>
      </c>
      <c r="J33" s="360"/>
      <c r="K33" s="360" t="str">
        <f>IF(D35=6,"●",IF(D35=4,"●",""))</f>
        <v/>
      </c>
      <c r="L33" s="359" t="str">
        <f>IF(D34=6,"●",IF(D34=4,"●",""))</f>
        <v/>
      </c>
      <c r="M33" s="358" t="s">
        <v>549</v>
      </c>
      <c r="N33" s="361">
        <f>IF(D33="-","",D33)</f>
        <v>8</v>
      </c>
      <c r="O33" s="362">
        <f>IF(C33="-","",C33)</f>
        <v>16</v>
      </c>
      <c r="P33" s="363"/>
      <c r="T33" s="315"/>
    </row>
    <row r="34" spans="2:20" s="327" customFormat="1" ht="24.75" x14ac:dyDescent="0.2">
      <c r="B34" s="354"/>
      <c r="C34" s="355" t="s">
        <v>602</v>
      </c>
      <c r="D34" s="356" t="s">
        <v>602</v>
      </c>
      <c r="E34" s="357" t="str">
        <f>IF(C34="-","",(((PI()/4)*C34*C34)*D34))</f>
        <v/>
      </c>
      <c r="G34" s="358" t="str">
        <f>IF(D33=6,"●","")</f>
        <v/>
      </c>
      <c r="H34" s="359" t="str">
        <f>IF(D34=6,"●","")</f>
        <v/>
      </c>
      <c r="I34" s="360" t="str">
        <f>IF(D35=6,"●","")</f>
        <v/>
      </c>
      <c r="J34" s="364"/>
      <c r="K34" s="360" t="str">
        <f>IF(D35=6,"●","")</f>
        <v/>
      </c>
      <c r="L34" s="359" t="str">
        <f>IF(D34=6,"●","")</f>
        <v/>
      </c>
      <c r="M34" s="358" t="str">
        <f>IF(D33=6,"●","")</f>
        <v/>
      </c>
      <c r="N34" s="365" t="str">
        <f>IF(D34="-","",D34)</f>
        <v/>
      </c>
      <c r="O34" s="366" t="str">
        <f>IF(C34="-","",C34)</f>
        <v/>
      </c>
      <c r="P34" s="363"/>
      <c r="T34" s="315"/>
    </row>
    <row r="35" spans="2:20" s="327" customFormat="1" ht="24.75" x14ac:dyDescent="0.2">
      <c r="B35" s="354"/>
      <c r="C35" s="355" t="s">
        <v>602</v>
      </c>
      <c r="D35" s="356" t="s">
        <v>602</v>
      </c>
      <c r="E35" s="357" t="str">
        <f>IF(C35="-","",(((PI()/4)*C35*C35)*D35))</f>
        <v/>
      </c>
      <c r="G35" s="358" t="s">
        <v>549</v>
      </c>
      <c r="H35" s="359" t="str">
        <f>IF(D34=6,"●",IF(D34=4,"●",""))</f>
        <v/>
      </c>
      <c r="I35" s="360" t="str">
        <f>IF(D35=6,"●",IF(D35=4,"●",""))</f>
        <v/>
      </c>
      <c r="J35" s="360"/>
      <c r="K35" s="360" t="str">
        <f>IF(D35=6,"●",IF(D35=4,"●",""))</f>
        <v/>
      </c>
      <c r="L35" s="359" t="str">
        <f>IF(D34=6,"●",IF(D34=4,"●",""))</f>
        <v/>
      </c>
      <c r="M35" s="358" t="s">
        <v>549</v>
      </c>
      <c r="N35" s="367" t="str">
        <f>IF(D35="-","",D35)</f>
        <v/>
      </c>
      <c r="O35" s="368" t="str">
        <f>IF(C35="-","",C35)</f>
        <v/>
      </c>
      <c r="P35" s="363"/>
      <c r="T35" s="369"/>
    </row>
    <row r="36" spans="2:20" x14ac:dyDescent="0.2">
      <c r="B36" s="14"/>
      <c r="C36" s="370" t="s">
        <v>550</v>
      </c>
      <c r="D36" s="371">
        <f>SUM(D33:D35)</f>
        <v>8</v>
      </c>
      <c r="E36" s="372">
        <f>SUM(E33:E35)</f>
        <v>1608.4954386379741</v>
      </c>
      <c r="P36" s="33"/>
      <c r="T36" s="315"/>
    </row>
    <row r="37" spans="2:20" x14ac:dyDescent="0.2">
      <c r="B37" s="14"/>
      <c r="C37" s="373"/>
      <c r="D37" s="374"/>
      <c r="E37" s="375"/>
      <c r="P37" s="33"/>
      <c r="T37" s="315"/>
    </row>
    <row r="38" spans="2:20" ht="12.75" customHeight="1" x14ac:dyDescent="0.2">
      <c r="B38" s="14"/>
      <c r="C38" s="617" t="str">
        <f>IF(E36&lt;D28,"Increase the bar diameter or The total number of bars provided","Steel provided OK")</f>
        <v>Steel provided OK</v>
      </c>
      <c r="D38" s="617"/>
      <c r="E38" s="617"/>
      <c r="F38" s="617"/>
      <c r="G38" s="617"/>
      <c r="H38" s="617"/>
      <c r="I38" s="617"/>
      <c r="J38" s="617"/>
      <c r="K38" s="617"/>
      <c r="L38" s="617"/>
      <c r="M38" s="617"/>
      <c r="P38" s="33"/>
      <c r="T38" s="315"/>
    </row>
    <row r="39" spans="2:20" x14ac:dyDescent="0.2">
      <c r="B39" s="9"/>
      <c r="C39" s="376"/>
      <c r="D39" s="376"/>
      <c r="E39" s="376"/>
      <c r="F39" s="10"/>
      <c r="G39" s="10"/>
      <c r="H39" s="10"/>
      <c r="I39" s="10"/>
      <c r="J39" s="10"/>
      <c r="K39" s="10"/>
      <c r="L39" s="5"/>
      <c r="M39" s="5"/>
      <c r="N39" s="5"/>
      <c r="O39" s="10"/>
      <c r="P39" s="34"/>
      <c r="T39" s="315"/>
    </row>
    <row r="41" spans="2:20" x14ac:dyDescent="0.2">
      <c r="L41" s="7"/>
      <c r="M41" s="7"/>
      <c r="N41" s="7"/>
    </row>
    <row r="42" spans="2:20" x14ac:dyDescent="0.2">
      <c r="B42" s="377" t="s">
        <v>25</v>
      </c>
      <c r="C42" s="377" t="s">
        <v>541</v>
      </c>
      <c r="D42" s="378" t="s">
        <v>551</v>
      </c>
      <c r="E42" s="378" t="s">
        <v>552</v>
      </c>
      <c r="L42" s="7"/>
      <c r="M42" s="7"/>
      <c r="N42" s="7"/>
    </row>
    <row r="43" spans="2:20" x14ac:dyDescent="0.2">
      <c r="B43" s="613">
        <v>250</v>
      </c>
      <c r="C43" s="380">
        <v>0.05</v>
      </c>
      <c r="D43" s="381" t="s">
        <v>553</v>
      </c>
      <c r="E43" s="380">
        <v>112</v>
      </c>
      <c r="L43" s="7"/>
      <c r="M43" s="7"/>
      <c r="N43" s="7"/>
    </row>
    <row r="44" spans="2:20" x14ac:dyDescent="0.2">
      <c r="B44" s="613"/>
      <c r="C44" s="380">
        <v>0.1</v>
      </c>
      <c r="D44" s="381" t="s">
        <v>554</v>
      </c>
      <c r="E44" s="380">
        <v>113</v>
      </c>
      <c r="L44" s="7"/>
      <c r="M44" s="7"/>
      <c r="N44" s="7"/>
    </row>
    <row r="45" spans="2:20" x14ac:dyDescent="0.2">
      <c r="B45" s="613"/>
      <c r="C45" s="380">
        <v>0.15</v>
      </c>
      <c r="D45" s="381" t="s">
        <v>555</v>
      </c>
      <c r="E45" s="380">
        <v>114</v>
      </c>
      <c r="L45" s="7"/>
      <c r="M45" s="7"/>
      <c r="N45" s="7"/>
    </row>
    <row r="46" spans="2:20" x14ac:dyDescent="0.2">
      <c r="B46" s="613"/>
      <c r="C46" s="380">
        <v>0.2</v>
      </c>
      <c r="D46" s="381" t="s">
        <v>556</v>
      </c>
      <c r="E46" s="380">
        <v>115</v>
      </c>
    </row>
    <row r="47" spans="2:20" x14ac:dyDescent="0.2">
      <c r="B47" s="613">
        <v>415</v>
      </c>
      <c r="C47" s="380">
        <v>0.05</v>
      </c>
      <c r="D47" s="381" t="s">
        <v>557</v>
      </c>
      <c r="E47" s="380">
        <v>116</v>
      </c>
    </row>
    <row r="48" spans="2:20" x14ac:dyDescent="0.2">
      <c r="B48" s="613"/>
      <c r="C48" s="380">
        <v>0.1</v>
      </c>
      <c r="D48" s="381" t="s">
        <v>558</v>
      </c>
      <c r="E48" s="380">
        <v>117</v>
      </c>
    </row>
    <row r="49" spans="2:5" x14ac:dyDescent="0.2">
      <c r="B49" s="613"/>
      <c r="C49" s="380">
        <v>0.15</v>
      </c>
      <c r="D49" s="381" t="s">
        <v>559</v>
      </c>
      <c r="E49" s="380">
        <v>118</v>
      </c>
    </row>
    <row r="50" spans="2:5" x14ac:dyDescent="0.2">
      <c r="B50" s="613"/>
      <c r="C50" s="380">
        <v>0.2</v>
      </c>
      <c r="D50" s="381" t="s">
        <v>560</v>
      </c>
      <c r="E50" s="380">
        <v>119</v>
      </c>
    </row>
    <row r="51" spans="2:5" x14ac:dyDescent="0.2">
      <c r="B51" s="613">
        <v>500</v>
      </c>
      <c r="C51" s="380">
        <v>0.05</v>
      </c>
      <c r="D51" s="381" t="s">
        <v>561</v>
      </c>
      <c r="E51" s="380">
        <v>120</v>
      </c>
    </row>
    <row r="52" spans="2:5" x14ac:dyDescent="0.2">
      <c r="B52" s="613"/>
      <c r="C52" s="380">
        <v>0.1</v>
      </c>
      <c r="D52" s="381" t="s">
        <v>562</v>
      </c>
      <c r="E52" s="380">
        <v>121</v>
      </c>
    </row>
    <row r="53" spans="2:5" x14ac:dyDescent="0.2">
      <c r="B53" s="613"/>
      <c r="C53" s="380">
        <v>0.15</v>
      </c>
      <c r="D53" s="381" t="s">
        <v>563</v>
      </c>
      <c r="E53" s="380">
        <v>122</v>
      </c>
    </row>
    <row r="54" spans="2:5" x14ac:dyDescent="0.2">
      <c r="B54" s="613"/>
      <c r="C54" s="380">
        <v>0.2</v>
      </c>
      <c r="D54" s="381" t="s">
        <v>564</v>
      </c>
      <c r="E54" s="380">
        <v>123</v>
      </c>
    </row>
    <row r="55" spans="2:5" x14ac:dyDescent="0.2">
      <c r="B55" s="382"/>
      <c r="D55" s="7"/>
      <c r="E55" s="33"/>
    </row>
    <row r="56" spans="2:5" x14ac:dyDescent="0.2">
      <c r="B56" s="383"/>
      <c r="C56" s="379">
        <v>250</v>
      </c>
      <c r="D56" s="379" t="str">
        <f>VLOOKUP(D20,C43:D46,2)</f>
        <v>Chart 27</v>
      </c>
      <c r="E56" s="384"/>
    </row>
    <row r="57" spans="2:5" x14ac:dyDescent="0.2">
      <c r="B57" s="382"/>
      <c r="C57" s="379">
        <v>415</v>
      </c>
      <c r="D57" s="379" t="str">
        <f>VLOOKUP(D20,C47:D50,2)</f>
        <v>Chart 31</v>
      </c>
      <c r="E57" s="385"/>
    </row>
    <row r="58" spans="2:5" x14ac:dyDescent="0.2">
      <c r="B58" s="386"/>
      <c r="C58" s="379">
        <v>500</v>
      </c>
      <c r="D58" s="379" t="str">
        <f>VLOOKUP(D20,C51:D54,2)</f>
        <v>Chart 35</v>
      </c>
      <c r="E58" s="387"/>
    </row>
    <row r="59" spans="2:5" x14ac:dyDescent="0.2">
      <c r="B59" s="383"/>
      <c r="C59" s="317"/>
      <c r="D59" s="317"/>
      <c r="E59" s="384"/>
    </row>
    <row r="60" spans="2:5" x14ac:dyDescent="0.2">
      <c r="B60" s="388"/>
      <c r="C60" s="378" t="s">
        <v>551</v>
      </c>
      <c r="D60" s="378" t="s">
        <v>552</v>
      </c>
      <c r="E60" s="389"/>
    </row>
    <row r="61" spans="2:5" x14ac:dyDescent="0.2">
      <c r="B61" s="382"/>
      <c r="C61" s="379" t="str">
        <f>VLOOKUP(E16,C56:D58,2)</f>
        <v>Chart 35</v>
      </c>
      <c r="D61" s="379">
        <f>VLOOKUP(C61,D42:E54,2)</f>
        <v>120</v>
      </c>
      <c r="E61" s="389"/>
    </row>
    <row r="62" spans="2:5" x14ac:dyDescent="0.2">
      <c r="B62" s="9"/>
      <c r="C62" s="10"/>
      <c r="D62" s="390"/>
      <c r="E62" s="391"/>
    </row>
  </sheetData>
  <protectedRanges>
    <protectedRange sqref="C33:C35" name="Inputs_2"/>
    <protectedRange sqref="E15" name="Inputs_1_1"/>
  </protectedRanges>
  <mergeCells count="14">
    <mergeCell ref="B2:P2"/>
    <mergeCell ref="I8:K8"/>
    <mergeCell ref="T16:T17"/>
    <mergeCell ref="G18:M18"/>
    <mergeCell ref="T18:T19"/>
    <mergeCell ref="H19:J19"/>
    <mergeCell ref="K19:M19"/>
    <mergeCell ref="B51:B54"/>
    <mergeCell ref="H20:J20"/>
    <mergeCell ref="K20:M20"/>
    <mergeCell ref="T20:T23"/>
    <mergeCell ref="C38:M38"/>
    <mergeCell ref="B43:B46"/>
    <mergeCell ref="B47:B50"/>
  </mergeCells>
  <conditionalFormatting sqref="G33">
    <cfRule type="cellIs" dxfId="1" priority="1" stopIfTrue="1" operator="equal">
      <formula>"$B$27=12"</formula>
    </cfRule>
  </conditionalFormatting>
  <dataValidations count="5">
    <dataValidation type="list" allowBlank="1" showInputMessage="1" showErrorMessage="1" sqref="WVL983073:WVL983075 IZ33:IZ35 SV33:SV35 ACR33:ACR35 AMN33:AMN35 AWJ33:AWJ35 BGF33:BGF35 BQB33:BQB35 BZX33:BZX35 CJT33:CJT35 CTP33:CTP35 DDL33:DDL35 DNH33:DNH35 DXD33:DXD35 EGZ33:EGZ35 EQV33:EQV35 FAR33:FAR35 FKN33:FKN35 FUJ33:FUJ35 GEF33:GEF35 GOB33:GOB35 GXX33:GXX35 HHT33:HHT35 HRP33:HRP35 IBL33:IBL35 ILH33:ILH35 IVD33:IVD35 JEZ33:JEZ35 JOV33:JOV35 JYR33:JYR35 KIN33:KIN35 KSJ33:KSJ35 LCF33:LCF35 LMB33:LMB35 LVX33:LVX35 MFT33:MFT35 MPP33:MPP35 MZL33:MZL35 NJH33:NJH35 NTD33:NTD35 OCZ33:OCZ35 OMV33:OMV35 OWR33:OWR35 PGN33:PGN35 PQJ33:PQJ35 QAF33:QAF35 QKB33:QKB35 QTX33:QTX35 RDT33:RDT35 RNP33:RNP35 RXL33:RXL35 SHH33:SHH35 SRD33:SRD35 TAZ33:TAZ35 TKV33:TKV35 TUR33:TUR35 UEN33:UEN35 UOJ33:UOJ35 UYF33:UYF35 VIB33:VIB35 VRX33:VRX35 WBT33:WBT35 WLP33:WLP35 WVL33:WVL35 D65569:D65571 IZ65569:IZ65571 SV65569:SV65571 ACR65569:ACR65571 AMN65569:AMN65571 AWJ65569:AWJ65571 BGF65569:BGF65571 BQB65569:BQB65571 BZX65569:BZX65571 CJT65569:CJT65571 CTP65569:CTP65571 DDL65569:DDL65571 DNH65569:DNH65571 DXD65569:DXD65571 EGZ65569:EGZ65571 EQV65569:EQV65571 FAR65569:FAR65571 FKN65569:FKN65571 FUJ65569:FUJ65571 GEF65569:GEF65571 GOB65569:GOB65571 GXX65569:GXX65571 HHT65569:HHT65571 HRP65569:HRP65571 IBL65569:IBL65571 ILH65569:ILH65571 IVD65569:IVD65571 JEZ65569:JEZ65571 JOV65569:JOV65571 JYR65569:JYR65571 KIN65569:KIN65571 KSJ65569:KSJ65571 LCF65569:LCF65571 LMB65569:LMB65571 LVX65569:LVX65571 MFT65569:MFT65571 MPP65569:MPP65571 MZL65569:MZL65571 NJH65569:NJH65571 NTD65569:NTD65571 OCZ65569:OCZ65571 OMV65569:OMV65571 OWR65569:OWR65571 PGN65569:PGN65571 PQJ65569:PQJ65571 QAF65569:QAF65571 QKB65569:QKB65571 QTX65569:QTX65571 RDT65569:RDT65571 RNP65569:RNP65571 RXL65569:RXL65571 SHH65569:SHH65571 SRD65569:SRD65571 TAZ65569:TAZ65571 TKV65569:TKV65571 TUR65569:TUR65571 UEN65569:UEN65571 UOJ65569:UOJ65571 UYF65569:UYF65571 VIB65569:VIB65571 VRX65569:VRX65571 WBT65569:WBT65571 WLP65569:WLP65571 WVL65569:WVL65571 D131105:D131107 IZ131105:IZ131107 SV131105:SV131107 ACR131105:ACR131107 AMN131105:AMN131107 AWJ131105:AWJ131107 BGF131105:BGF131107 BQB131105:BQB131107 BZX131105:BZX131107 CJT131105:CJT131107 CTP131105:CTP131107 DDL131105:DDL131107 DNH131105:DNH131107 DXD131105:DXD131107 EGZ131105:EGZ131107 EQV131105:EQV131107 FAR131105:FAR131107 FKN131105:FKN131107 FUJ131105:FUJ131107 GEF131105:GEF131107 GOB131105:GOB131107 GXX131105:GXX131107 HHT131105:HHT131107 HRP131105:HRP131107 IBL131105:IBL131107 ILH131105:ILH131107 IVD131105:IVD131107 JEZ131105:JEZ131107 JOV131105:JOV131107 JYR131105:JYR131107 KIN131105:KIN131107 KSJ131105:KSJ131107 LCF131105:LCF131107 LMB131105:LMB131107 LVX131105:LVX131107 MFT131105:MFT131107 MPP131105:MPP131107 MZL131105:MZL131107 NJH131105:NJH131107 NTD131105:NTD131107 OCZ131105:OCZ131107 OMV131105:OMV131107 OWR131105:OWR131107 PGN131105:PGN131107 PQJ131105:PQJ131107 QAF131105:QAF131107 QKB131105:QKB131107 QTX131105:QTX131107 RDT131105:RDT131107 RNP131105:RNP131107 RXL131105:RXL131107 SHH131105:SHH131107 SRD131105:SRD131107 TAZ131105:TAZ131107 TKV131105:TKV131107 TUR131105:TUR131107 UEN131105:UEN131107 UOJ131105:UOJ131107 UYF131105:UYF131107 VIB131105:VIB131107 VRX131105:VRX131107 WBT131105:WBT131107 WLP131105:WLP131107 WVL131105:WVL131107 D196641:D196643 IZ196641:IZ196643 SV196641:SV196643 ACR196641:ACR196643 AMN196641:AMN196643 AWJ196641:AWJ196643 BGF196641:BGF196643 BQB196641:BQB196643 BZX196641:BZX196643 CJT196641:CJT196643 CTP196641:CTP196643 DDL196641:DDL196643 DNH196641:DNH196643 DXD196641:DXD196643 EGZ196641:EGZ196643 EQV196641:EQV196643 FAR196641:FAR196643 FKN196641:FKN196643 FUJ196641:FUJ196643 GEF196641:GEF196643 GOB196641:GOB196643 GXX196641:GXX196643 HHT196641:HHT196643 HRP196641:HRP196643 IBL196641:IBL196643 ILH196641:ILH196643 IVD196641:IVD196643 JEZ196641:JEZ196643 JOV196641:JOV196643 JYR196641:JYR196643 KIN196641:KIN196643 KSJ196641:KSJ196643 LCF196641:LCF196643 LMB196641:LMB196643 LVX196641:LVX196643 MFT196641:MFT196643 MPP196641:MPP196643 MZL196641:MZL196643 NJH196641:NJH196643 NTD196641:NTD196643 OCZ196641:OCZ196643 OMV196641:OMV196643 OWR196641:OWR196643 PGN196641:PGN196643 PQJ196641:PQJ196643 QAF196641:QAF196643 QKB196641:QKB196643 QTX196641:QTX196643 RDT196641:RDT196643 RNP196641:RNP196643 RXL196641:RXL196643 SHH196641:SHH196643 SRD196641:SRD196643 TAZ196641:TAZ196643 TKV196641:TKV196643 TUR196641:TUR196643 UEN196641:UEN196643 UOJ196641:UOJ196643 UYF196641:UYF196643 VIB196641:VIB196643 VRX196641:VRX196643 WBT196641:WBT196643 WLP196641:WLP196643 WVL196641:WVL196643 D262177:D262179 IZ262177:IZ262179 SV262177:SV262179 ACR262177:ACR262179 AMN262177:AMN262179 AWJ262177:AWJ262179 BGF262177:BGF262179 BQB262177:BQB262179 BZX262177:BZX262179 CJT262177:CJT262179 CTP262177:CTP262179 DDL262177:DDL262179 DNH262177:DNH262179 DXD262177:DXD262179 EGZ262177:EGZ262179 EQV262177:EQV262179 FAR262177:FAR262179 FKN262177:FKN262179 FUJ262177:FUJ262179 GEF262177:GEF262179 GOB262177:GOB262179 GXX262177:GXX262179 HHT262177:HHT262179 HRP262177:HRP262179 IBL262177:IBL262179 ILH262177:ILH262179 IVD262177:IVD262179 JEZ262177:JEZ262179 JOV262177:JOV262179 JYR262177:JYR262179 KIN262177:KIN262179 KSJ262177:KSJ262179 LCF262177:LCF262179 LMB262177:LMB262179 LVX262177:LVX262179 MFT262177:MFT262179 MPP262177:MPP262179 MZL262177:MZL262179 NJH262177:NJH262179 NTD262177:NTD262179 OCZ262177:OCZ262179 OMV262177:OMV262179 OWR262177:OWR262179 PGN262177:PGN262179 PQJ262177:PQJ262179 QAF262177:QAF262179 QKB262177:QKB262179 QTX262177:QTX262179 RDT262177:RDT262179 RNP262177:RNP262179 RXL262177:RXL262179 SHH262177:SHH262179 SRD262177:SRD262179 TAZ262177:TAZ262179 TKV262177:TKV262179 TUR262177:TUR262179 UEN262177:UEN262179 UOJ262177:UOJ262179 UYF262177:UYF262179 VIB262177:VIB262179 VRX262177:VRX262179 WBT262177:WBT262179 WLP262177:WLP262179 WVL262177:WVL262179 D327713:D327715 IZ327713:IZ327715 SV327713:SV327715 ACR327713:ACR327715 AMN327713:AMN327715 AWJ327713:AWJ327715 BGF327713:BGF327715 BQB327713:BQB327715 BZX327713:BZX327715 CJT327713:CJT327715 CTP327713:CTP327715 DDL327713:DDL327715 DNH327713:DNH327715 DXD327713:DXD327715 EGZ327713:EGZ327715 EQV327713:EQV327715 FAR327713:FAR327715 FKN327713:FKN327715 FUJ327713:FUJ327715 GEF327713:GEF327715 GOB327713:GOB327715 GXX327713:GXX327715 HHT327713:HHT327715 HRP327713:HRP327715 IBL327713:IBL327715 ILH327713:ILH327715 IVD327713:IVD327715 JEZ327713:JEZ327715 JOV327713:JOV327715 JYR327713:JYR327715 KIN327713:KIN327715 KSJ327713:KSJ327715 LCF327713:LCF327715 LMB327713:LMB327715 LVX327713:LVX327715 MFT327713:MFT327715 MPP327713:MPP327715 MZL327713:MZL327715 NJH327713:NJH327715 NTD327713:NTD327715 OCZ327713:OCZ327715 OMV327713:OMV327715 OWR327713:OWR327715 PGN327713:PGN327715 PQJ327713:PQJ327715 QAF327713:QAF327715 QKB327713:QKB327715 QTX327713:QTX327715 RDT327713:RDT327715 RNP327713:RNP327715 RXL327713:RXL327715 SHH327713:SHH327715 SRD327713:SRD327715 TAZ327713:TAZ327715 TKV327713:TKV327715 TUR327713:TUR327715 UEN327713:UEN327715 UOJ327713:UOJ327715 UYF327713:UYF327715 VIB327713:VIB327715 VRX327713:VRX327715 WBT327713:WBT327715 WLP327713:WLP327715 WVL327713:WVL327715 D393249:D393251 IZ393249:IZ393251 SV393249:SV393251 ACR393249:ACR393251 AMN393249:AMN393251 AWJ393249:AWJ393251 BGF393249:BGF393251 BQB393249:BQB393251 BZX393249:BZX393251 CJT393249:CJT393251 CTP393249:CTP393251 DDL393249:DDL393251 DNH393249:DNH393251 DXD393249:DXD393251 EGZ393249:EGZ393251 EQV393249:EQV393251 FAR393249:FAR393251 FKN393249:FKN393251 FUJ393249:FUJ393251 GEF393249:GEF393251 GOB393249:GOB393251 GXX393249:GXX393251 HHT393249:HHT393251 HRP393249:HRP393251 IBL393249:IBL393251 ILH393249:ILH393251 IVD393249:IVD393251 JEZ393249:JEZ393251 JOV393249:JOV393251 JYR393249:JYR393251 KIN393249:KIN393251 KSJ393249:KSJ393251 LCF393249:LCF393251 LMB393249:LMB393251 LVX393249:LVX393251 MFT393249:MFT393251 MPP393249:MPP393251 MZL393249:MZL393251 NJH393249:NJH393251 NTD393249:NTD393251 OCZ393249:OCZ393251 OMV393249:OMV393251 OWR393249:OWR393251 PGN393249:PGN393251 PQJ393249:PQJ393251 QAF393249:QAF393251 QKB393249:QKB393251 QTX393249:QTX393251 RDT393249:RDT393251 RNP393249:RNP393251 RXL393249:RXL393251 SHH393249:SHH393251 SRD393249:SRD393251 TAZ393249:TAZ393251 TKV393249:TKV393251 TUR393249:TUR393251 UEN393249:UEN393251 UOJ393249:UOJ393251 UYF393249:UYF393251 VIB393249:VIB393251 VRX393249:VRX393251 WBT393249:WBT393251 WLP393249:WLP393251 WVL393249:WVL393251 D458785:D458787 IZ458785:IZ458787 SV458785:SV458787 ACR458785:ACR458787 AMN458785:AMN458787 AWJ458785:AWJ458787 BGF458785:BGF458787 BQB458785:BQB458787 BZX458785:BZX458787 CJT458785:CJT458787 CTP458785:CTP458787 DDL458785:DDL458787 DNH458785:DNH458787 DXD458785:DXD458787 EGZ458785:EGZ458787 EQV458785:EQV458787 FAR458785:FAR458787 FKN458785:FKN458787 FUJ458785:FUJ458787 GEF458785:GEF458787 GOB458785:GOB458787 GXX458785:GXX458787 HHT458785:HHT458787 HRP458785:HRP458787 IBL458785:IBL458787 ILH458785:ILH458787 IVD458785:IVD458787 JEZ458785:JEZ458787 JOV458785:JOV458787 JYR458785:JYR458787 KIN458785:KIN458787 KSJ458785:KSJ458787 LCF458785:LCF458787 LMB458785:LMB458787 LVX458785:LVX458787 MFT458785:MFT458787 MPP458785:MPP458787 MZL458785:MZL458787 NJH458785:NJH458787 NTD458785:NTD458787 OCZ458785:OCZ458787 OMV458785:OMV458787 OWR458785:OWR458787 PGN458785:PGN458787 PQJ458785:PQJ458787 QAF458785:QAF458787 QKB458785:QKB458787 QTX458785:QTX458787 RDT458785:RDT458787 RNP458785:RNP458787 RXL458785:RXL458787 SHH458785:SHH458787 SRD458785:SRD458787 TAZ458785:TAZ458787 TKV458785:TKV458787 TUR458785:TUR458787 UEN458785:UEN458787 UOJ458785:UOJ458787 UYF458785:UYF458787 VIB458785:VIB458787 VRX458785:VRX458787 WBT458785:WBT458787 WLP458785:WLP458787 WVL458785:WVL458787 D524321:D524323 IZ524321:IZ524323 SV524321:SV524323 ACR524321:ACR524323 AMN524321:AMN524323 AWJ524321:AWJ524323 BGF524321:BGF524323 BQB524321:BQB524323 BZX524321:BZX524323 CJT524321:CJT524323 CTP524321:CTP524323 DDL524321:DDL524323 DNH524321:DNH524323 DXD524321:DXD524323 EGZ524321:EGZ524323 EQV524321:EQV524323 FAR524321:FAR524323 FKN524321:FKN524323 FUJ524321:FUJ524323 GEF524321:GEF524323 GOB524321:GOB524323 GXX524321:GXX524323 HHT524321:HHT524323 HRP524321:HRP524323 IBL524321:IBL524323 ILH524321:ILH524323 IVD524321:IVD524323 JEZ524321:JEZ524323 JOV524321:JOV524323 JYR524321:JYR524323 KIN524321:KIN524323 KSJ524321:KSJ524323 LCF524321:LCF524323 LMB524321:LMB524323 LVX524321:LVX524323 MFT524321:MFT524323 MPP524321:MPP524323 MZL524321:MZL524323 NJH524321:NJH524323 NTD524321:NTD524323 OCZ524321:OCZ524323 OMV524321:OMV524323 OWR524321:OWR524323 PGN524321:PGN524323 PQJ524321:PQJ524323 QAF524321:QAF524323 QKB524321:QKB524323 QTX524321:QTX524323 RDT524321:RDT524323 RNP524321:RNP524323 RXL524321:RXL524323 SHH524321:SHH524323 SRD524321:SRD524323 TAZ524321:TAZ524323 TKV524321:TKV524323 TUR524321:TUR524323 UEN524321:UEN524323 UOJ524321:UOJ524323 UYF524321:UYF524323 VIB524321:VIB524323 VRX524321:VRX524323 WBT524321:WBT524323 WLP524321:WLP524323 WVL524321:WVL524323 D589857:D589859 IZ589857:IZ589859 SV589857:SV589859 ACR589857:ACR589859 AMN589857:AMN589859 AWJ589857:AWJ589859 BGF589857:BGF589859 BQB589857:BQB589859 BZX589857:BZX589859 CJT589857:CJT589859 CTP589857:CTP589859 DDL589857:DDL589859 DNH589857:DNH589859 DXD589857:DXD589859 EGZ589857:EGZ589859 EQV589857:EQV589859 FAR589857:FAR589859 FKN589857:FKN589859 FUJ589857:FUJ589859 GEF589857:GEF589859 GOB589857:GOB589859 GXX589857:GXX589859 HHT589857:HHT589859 HRP589857:HRP589859 IBL589857:IBL589859 ILH589857:ILH589859 IVD589857:IVD589859 JEZ589857:JEZ589859 JOV589857:JOV589859 JYR589857:JYR589859 KIN589857:KIN589859 KSJ589857:KSJ589859 LCF589857:LCF589859 LMB589857:LMB589859 LVX589857:LVX589859 MFT589857:MFT589859 MPP589857:MPP589859 MZL589857:MZL589859 NJH589857:NJH589859 NTD589857:NTD589859 OCZ589857:OCZ589859 OMV589857:OMV589859 OWR589857:OWR589859 PGN589857:PGN589859 PQJ589857:PQJ589859 QAF589857:QAF589859 QKB589857:QKB589859 QTX589857:QTX589859 RDT589857:RDT589859 RNP589857:RNP589859 RXL589857:RXL589859 SHH589857:SHH589859 SRD589857:SRD589859 TAZ589857:TAZ589859 TKV589857:TKV589859 TUR589857:TUR589859 UEN589857:UEN589859 UOJ589857:UOJ589859 UYF589857:UYF589859 VIB589857:VIB589859 VRX589857:VRX589859 WBT589857:WBT589859 WLP589857:WLP589859 WVL589857:WVL589859 D655393:D655395 IZ655393:IZ655395 SV655393:SV655395 ACR655393:ACR655395 AMN655393:AMN655395 AWJ655393:AWJ655395 BGF655393:BGF655395 BQB655393:BQB655395 BZX655393:BZX655395 CJT655393:CJT655395 CTP655393:CTP655395 DDL655393:DDL655395 DNH655393:DNH655395 DXD655393:DXD655395 EGZ655393:EGZ655395 EQV655393:EQV655395 FAR655393:FAR655395 FKN655393:FKN655395 FUJ655393:FUJ655395 GEF655393:GEF655395 GOB655393:GOB655395 GXX655393:GXX655395 HHT655393:HHT655395 HRP655393:HRP655395 IBL655393:IBL655395 ILH655393:ILH655395 IVD655393:IVD655395 JEZ655393:JEZ655395 JOV655393:JOV655395 JYR655393:JYR655395 KIN655393:KIN655395 KSJ655393:KSJ655395 LCF655393:LCF655395 LMB655393:LMB655395 LVX655393:LVX655395 MFT655393:MFT655395 MPP655393:MPP655395 MZL655393:MZL655395 NJH655393:NJH655395 NTD655393:NTD655395 OCZ655393:OCZ655395 OMV655393:OMV655395 OWR655393:OWR655395 PGN655393:PGN655395 PQJ655393:PQJ655395 QAF655393:QAF655395 QKB655393:QKB655395 QTX655393:QTX655395 RDT655393:RDT655395 RNP655393:RNP655395 RXL655393:RXL655395 SHH655393:SHH655395 SRD655393:SRD655395 TAZ655393:TAZ655395 TKV655393:TKV655395 TUR655393:TUR655395 UEN655393:UEN655395 UOJ655393:UOJ655395 UYF655393:UYF655395 VIB655393:VIB655395 VRX655393:VRX655395 WBT655393:WBT655395 WLP655393:WLP655395 WVL655393:WVL655395 D720929:D720931 IZ720929:IZ720931 SV720929:SV720931 ACR720929:ACR720931 AMN720929:AMN720931 AWJ720929:AWJ720931 BGF720929:BGF720931 BQB720929:BQB720931 BZX720929:BZX720931 CJT720929:CJT720931 CTP720929:CTP720931 DDL720929:DDL720931 DNH720929:DNH720931 DXD720929:DXD720931 EGZ720929:EGZ720931 EQV720929:EQV720931 FAR720929:FAR720931 FKN720929:FKN720931 FUJ720929:FUJ720931 GEF720929:GEF720931 GOB720929:GOB720931 GXX720929:GXX720931 HHT720929:HHT720931 HRP720929:HRP720931 IBL720929:IBL720931 ILH720929:ILH720931 IVD720929:IVD720931 JEZ720929:JEZ720931 JOV720929:JOV720931 JYR720929:JYR720931 KIN720929:KIN720931 KSJ720929:KSJ720931 LCF720929:LCF720931 LMB720929:LMB720931 LVX720929:LVX720931 MFT720929:MFT720931 MPP720929:MPP720931 MZL720929:MZL720931 NJH720929:NJH720931 NTD720929:NTD720931 OCZ720929:OCZ720931 OMV720929:OMV720931 OWR720929:OWR720931 PGN720929:PGN720931 PQJ720929:PQJ720931 QAF720929:QAF720931 QKB720929:QKB720931 QTX720929:QTX720931 RDT720929:RDT720931 RNP720929:RNP720931 RXL720929:RXL720931 SHH720929:SHH720931 SRD720929:SRD720931 TAZ720929:TAZ720931 TKV720929:TKV720931 TUR720929:TUR720931 UEN720929:UEN720931 UOJ720929:UOJ720931 UYF720929:UYF720931 VIB720929:VIB720931 VRX720929:VRX720931 WBT720929:WBT720931 WLP720929:WLP720931 WVL720929:WVL720931 D786465:D786467 IZ786465:IZ786467 SV786465:SV786467 ACR786465:ACR786467 AMN786465:AMN786467 AWJ786465:AWJ786467 BGF786465:BGF786467 BQB786465:BQB786467 BZX786465:BZX786467 CJT786465:CJT786467 CTP786465:CTP786467 DDL786465:DDL786467 DNH786465:DNH786467 DXD786465:DXD786467 EGZ786465:EGZ786467 EQV786465:EQV786467 FAR786465:FAR786467 FKN786465:FKN786467 FUJ786465:FUJ786467 GEF786465:GEF786467 GOB786465:GOB786467 GXX786465:GXX786467 HHT786465:HHT786467 HRP786465:HRP786467 IBL786465:IBL786467 ILH786465:ILH786467 IVD786465:IVD786467 JEZ786465:JEZ786467 JOV786465:JOV786467 JYR786465:JYR786467 KIN786465:KIN786467 KSJ786465:KSJ786467 LCF786465:LCF786467 LMB786465:LMB786467 LVX786465:LVX786467 MFT786465:MFT786467 MPP786465:MPP786467 MZL786465:MZL786467 NJH786465:NJH786467 NTD786465:NTD786467 OCZ786465:OCZ786467 OMV786465:OMV786467 OWR786465:OWR786467 PGN786465:PGN786467 PQJ786465:PQJ786467 QAF786465:QAF786467 QKB786465:QKB786467 QTX786465:QTX786467 RDT786465:RDT786467 RNP786465:RNP786467 RXL786465:RXL786467 SHH786465:SHH786467 SRD786465:SRD786467 TAZ786465:TAZ786467 TKV786465:TKV786467 TUR786465:TUR786467 UEN786465:UEN786467 UOJ786465:UOJ786467 UYF786465:UYF786467 VIB786465:VIB786467 VRX786465:VRX786467 WBT786465:WBT786467 WLP786465:WLP786467 WVL786465:WVL786467 D852001:D852003 IZ852001:IZ852003 SV852001:SV852003 ACR852001:ACR852003 AMN852001:AMN852003 AWJ852001:AWJ852003 BGF852001:BGF852003 BQB852001:BQB852003 BZX852001:BZX852003 CJT852001:CJT852003 CTP852001:CTP852003 DDL852001:DDL852003 DNH852001:DNH852003 DXD852001:DXD852003 EGZ852001:EGZ852003 EQV852001:EQV852003 FAR852001:FAR852003 FKN852001:FKN852003 FUJ852001:FUJ852003 GEF852001:GEF852003 GOB852001:GOB852003 GXX852001:GXX852003 HHT852001:HHT852003 HRP852001:HRP852003 IBL852001:IBL852003 ILH852001:ILH852003 IVD852001:IVD852003 JEZ852001:JEZ852003 JOV852001:JOV852003 JYR852001:JYR852003 KIN852001:KIN852003 KSJ852001:KSJ852003 LCF852001:LCF852003 LMB852001:LMB852003 LVX852001:LVX852003 MFT852001:MFT852003 MPP852001:MPP852003 MZL852001:MZL852003 NJH852001:NJH852003 NTD852001:NTD852003 OCZ852001:OCZ852003 OMV852001:OMV852003 OWR852001:OWR852003 PGN852001:PGN852003 PQJ852001:PQJ852003 QAF852001:QAF852003 QKB852001:QKB852003 QTX852001:QTX852003 RDT852001:RDT852003 RNP852001:RNP852003 RXL852001:RXL852003 SHH852001:SHH852003 SRD852001:SRD852003 TAZ852001:TAZ852003 TKV852001:TKV852003 TUR852001:TUR852003 UEN852001:UEN852003 UOJ852001:UOJ852003 UYF852001:UYF852003 VIB852001:VIB852003 VRX852001:VRX852003 WBT852001:WBT852003 WLP852001:WLP852003 WVL852001:WVL852003 D917537:D917539 IZ917537:IZ917539 SV917537:SV917539 ACR917537:ACR917539 AMN917537:AMN917539 AWJ917537:AWJ917539 BGF917537:BGF917539 BQB917537:BQB917539 BZX917537:BZX917539 CJT917537:CJT917539 CTP917537:CTP917539 DDL917537:DDL917539 DNH917537:DNH917539 DXD917537:DXD917539 EGZ917537:EGZ917539 EQV917537:EQV917539 FAR917537:FAR917539 FKN917537:FKN917539 FUJ917537:FUJ917539 GEF917537:GEF917539 GOB917537:GOB917539 GXX917537:GXX917539 HHT917537:HHT917539 HRP917537:HRP917539 IBL917537:IBL917539 ILH917537:ILH917539 IVD917537:IVD917539 JEZ917537:JEZ917539 JOV917537:JOV917539 JYR917537:JYR917539 KIN917537:KIN917539 KSJ917537:KSJ917539 LCF917537:LCF917539 LMB917537:LMB917539 LVX917537:LVX917539 MFT917537:MFT917539 MPP917537:MPP917539 MZL917537:MZL917539 NJH917537:NJH917539 NTD917537:NTD917539 OCZ917537:OCZ917539 OMV917537:OMV917539 OWR917537:OWR917539 PGN917537:PGN917539 PQJ917537:PQJ917539 QAF917537:QAF917539 QKB917537:QKB917539 QTX917537:QTX917539 RDT917537:RDT917539 RNP917537:RNP917539 RXL917537:RXL917539 SHH917537:SHH917539 SRD917537:SRD917539 TAZ917537:TAZ917539 TKV917537:TKV917539 TUR917537:TUR917539 UEN917537:UEN917539 UOJ917537:UOJ917539 UYF917537:UYF917539 VIB917537:VIB917539 VRX917537:VRX917539 WBT917537:WBT917539 WLP917537:WLP917539 WVL917537:WVL917539 D983073:D983075 IZ983073:IZ983075 SV983073:SV983075 ACR983073:ACR983075 AMN983073:AMN983075 AWJ983073:AWJ983075 BGF983073:BGF983075 BQB983073:BQB983075 BZX983073:BZX983075 CJT983073:CJT983075 CTP983073:CTP983075 DDL983073:DDL983075 DNH983073:DNH983075 DXD983073:DXD983075 EGZ983073:EGZ983075 EQV983073:EQV983075 FAR983073:FAR983075 FKN983073:FKN983075 FUJ983073:FUJ983075 GEF983073:GEF983075 GOB983073:GOB983075 GXX983073:GXX983075 HHT983073:HHT983075 HRP983073:HRP983075 IBL983073:IBL983075 ILH983073:ILH983075 IVD983073:IVD983075 JEZ983073:JEZ983075 JOV983073:JOV983075 JYR983073:JYR983075 KIN983073:KIN983075 KSJ983073:KSJ983075 LCF983073:LCF983075 LMB983073:LMB983075 LVX983073:LVX983075 MFT983073:MFT983075 MPP983073:MPP983075 MZL983073:MZL983075 NJH983073:NJH983075 NTD983073:NTD983075 OCZ983073:OCZ983075 OMV983073:OMV983075 OWR983073:OWR983075 PGN983073:PGN983075 PQJ983073:PQJ983075 QAF983073:QAF983075 QKB983073:QKB983075 QTX983073:QTX983075 RDT983073:RDT983075 RNP983073:RNP983075 RXL983073:RXL983075 SHH983073:SHH983075 SRD983073:SRD983075 TAZ983073:TAZ983075 TKV983073:TKV983075 TUR983073:TUR983075 UEN983073:UEN983075 UOJ983073:UOJ983075 UYF983073:UYF983075 VIB983073:VIB983075 VRX983073:VRX983075 WBT983073:WBT983075 WLP983073:WLP983075 D34:D35" xr:uid="{C8A6E511-EA04-4E75-AB02-A8635B301832}">
      <formula1>"-,4,6"</formula1>
    </dataValidation>
    <dataValidation type="list" showInputMessage="1" showErrorMessage="1" sqref="C33:C35 IY33:IY35 SU33:SU35 ACQ33:ACQ35 AMM33:AMM35 AWI33:AWI35 BGE33:BGE35 BQA33:BQA35 BZW33:BZW35 CJS33:CJS35 CTO33:CTO35 DDK33:DDK35 DNG33:DNG35 DXC33:DXC35 EGY33:EGY35 EQU33:EQU35 FAQ33:FAQ35 FKM33:FKM35 FUI33:FUI35 GEE33:GEE35 GOA33:GOA35 GXW33:GXW35 HHS33:HHS35 HRO33:HRO35 IBK33:IBK35 ILG33:ILG35 IVC33:IVC35 JEY33:JEY35 JOU33:JOU35 JYQ33:JYQ35 KIM33:KIM35 KSI33:KSI35 LCE33:LCE35 LMA33:LMA35 LVW33:LVW35 MFS33:MFS35 MPO33:MPO35 MZK33:MZK35 NJG33:NJG35 NTC33:NTC35 OCY33:OCY35 OMU33:OMU35 OWQ33:OWQ35 PGM33:PGM35 PQI33:PQI35 QAE33:QAE35 QKA33:QKA35 QTW33:QTW35 RDS33:RDS35 RNO33:RNO35 RXK33:RXK35 SHG33:SHG35 SRC33:SRC35 TAY33:TAY35 TKU33:TKU35 TUQ33:TUQ35 UEM33:UEM35 UOI33:UOI35 UYE33:UYE35 VIA33:VIA35 VRW33:VRW35 WBS33:WBS35 WLO33:WLO35 WVK33:WVK35 C65569:C65571 IY65569:IY65571 SU65569:SU65571 ACQ65569:ACQ65571 AMM65569:AMM65571 AWI65569:AWI65571 BGE65569:BGE65571 BQA65569:BQA65571 BZW65569:BZW65571 CJS65569:CJS65571 CTO65569:CTO65571 DDK65569:DDK65571 DNG65569:DNG65571 DXC65569:DXC65571 EGY65569:EGY65571 EQU65569:EQU65571 FAQ65569:FAQ65571 FKM65569:FKM65571 FUI65569:FUI65571 GEE65569:GEE65571 GOA65569:GOA65571 GXW65569:GXW65571 HHS65569:HHS65571 HRO65569:HRO65571 IBK65569:IBK65571 ILG65569:ILG65571 IVC65569:IVC65571 JEY65569:JEY65571 JOU65569:JOU65571 JYQ65569:JYQ65571 KIM65569:KIM65571 KSI65569:KSI65571 LCE65569:LCE65571 LMA65569:LMA65571 LVW65569:LVW65571 MFS65569:MFS65571 MPO65569:MPO65571 MZK65569:MZK65571 NJG65569:NJG65571 NTC65569:NTC65571 OCY65569:OCY65571 OMU65569:OMU65571 OWQ65569:OWQ65571 PGM65569:PGM65571 PQI65569:PQI65571 QAE65569:QAE65571 QKA65569:QKA65571 QTW65569:QTW65571 RDS65569:RDS65571 RNO65569:RNO65571 RXK65569:RXK65571 SHG65569:SHG65571 SRC65569:SRC65571 TAY65569:TAY65571 TKU65569:TKU65571 TUQ65569:TUQ65571 UEM65569:UEM65571 UOI65569:UOI65571 UYE65569:UYE65571 VIA65569:VIA65571 VRW65569:VRW65571 WBS65569:WBS65571 WLO65569:WLO65571 WVK65569:WVK65571 C131105:C131107 IY131105:IY131107 SU131105:SU131107 ACQ131105:ACQ131107 AMM131105:AMM131107 AWI131105:AWI131107 BGE131105:BGE131107 BQA131105:BQA131107 BZW131105:BZW131107 CJS131105:CJS131107 CTO131105:CTO131107 DDK131105:DDK131107 DNG131105:DNG131107 DXC131105:DXC131107 EGY131105:EGY131107 EQU131105:EQU131107 FAQ131105:FAQ131107 FKM131105:FKM131107 FUI131105:FUI131107 GEE131105:GEE131107 GOA131105:GOA131107 GXW131105:GXW131107 HHS131105:HHS131107 HRO131105:HRO131107 IBK131105:IBK131107 ILG131105:ILG131107 IVC131105:IVC131107 JEY131105:JEY131107 JOU131105:JOU131107 JYQ131105:JYQ131107 KIM131105:KIM131107 KSI131105:KSI131107 LCE131105:LCE131107 LMA131105:LMA131107 LVW131105:LVW131107 MFS131105:MFS131107 MPO131105:MPO131107 MZK131105:MZK131107 NJG131105:NJG131107 NTC131105:NTC131107 OCY131105:OCY131107 OMU131105:OMU131107 OWQ131105:OWQ131107 PGM131105:PGM131107 PQI131105:PQI131107 QAE131105:QAE131107 QKA131105:QKA131107 QTW131105:QTW131107 RDS131105:RDS131107 RNO131105:RNO131107 RXK131105:RXK131107 SHG131105:SHG131107 SRC131105:SRC131107 TAY131105:TAY131107 TKU131105:TKU131107 TUQ131105:TUQ131107 UEM131105:UEM131107 UOI131105:UOI131107 UYE131105:UYE131107 VIA131105:VIA131107 VRW131105:VRW131107 WBS131105:WBS131107 WLO131105:WLO131107 WVK131105:WVK131107 C196641:C196643 IY196641:IY196643 SU196641:SU196643 ACQ196641:ACQ196643 AMM196641:AMM196643 AWI196641:AWI196643 BGE196641:BGE196643 BQA196641:BQA196643 BZW196641:BZW196643 CJS196641:CJS196643 CTO196641:CTO196643 DDK196641:DDK196643 DNG196641:DNG196643 DXC196641:DXC196643 EGY196641:EGY196643 EQU196641:EQU196643 FAQ196641:FAQ196643 FKM196641:FKM196643 FUI196641:FUI196643 GEE196641:GEE196643 GOA196641:GOA196643 GXW196641:GXW196643 HHS196641:HHS196643 HRO196641:HRO196643 IBK196641:IBK196643 ILG196641:ILG196643 IVC196641:IVC196643 JEY196641:JEY196643 JOU196641:JOU196643 JYQ196641:JYQ196643 KIM196641:KIM196643 KSI196641:KSI196643 LCE196641:LCE196643 LMA196641:LMA196643 LVW196641:LVW196643 MFS196641:MFS196643 MPO196641:MPO196643 MZK196641:MZK196643 NJG196641:NJG196643 NTC196641:NTC196643 OCY196641:OCY196643 OMU196641:OMU196643 OWQ196641:OWQ196643 PGM196641:PGM196643 PQI196641:PQI196643 QAE196641:QAE196643 QKA196641:QKA196643 QTW196641:QTW196643 RDS196641:RDS196643 RNO196641:RNO196643 RXK196641:RXK196643 SHG196641:SHG196643 SRC196641:SRC196643 TAY196641:TAY196643 TKU196641:TKU196643 TUQ196641:TUQ196643 UEM196641:UEM196643 UOI196641:UOI196643 UYE196641:UYE196643 VIA196641:VIA196643 VRW196641:VRW196643 WBS196641:WBS196643 WLO196641:WLO196643 WVK196641:WVK196643 C262177:C262179 IY262177:IY262179 SU262177:SU262179 ACQ262177:ACQ262179 AMM262177:AMM262179 AWI262177:AWI262179 BGE262177:BGE262179 BQA262177:BQA262179 BZW262177:BZW262179 CJS262177:CJS262179 CTO262177:CTO262179 DDK262177:DDK262179 DNG262177:DNG262179 DXC262177:DXC262179 EGY262177:EGY262179 EQU262177:EQU262179 FAQ262177:FAQ262179 FKM262177:FKM262179 FUI262177:FUI262179 GEE262177:GEE262179 GOA262177:GOA262179 GXW262177:GXW262179 HHS262177:HHS262179 HRO262177:HRO262179 IBK262177:IBK262179 ILG262177:ILG262179 IVC262177:IVC262179 JEY262177:JEY262179 JOU262177:JOU262179 JYQ262177:JYQ262179 KIM262177:KIM262179 KSI262177:KSI262179 LCE262177:LCE262179 LMA262177:LMA262179 LVW262177:LVW262179 MFS262177:MFS262179 MPO262177:MPO262179 MZK262177:MZK262179 NJG262177:NJG262179 NTC262177:NTC262179 OCY262177:OCY262179 OMU262177:OMU262179 OWQ262177:OWQ262179 PGM262177:PGM262179 PQI262177:PQI262179 QAE262177:QAE262179 QKA262177:QKA262179 QTW262177:QTW262179 RDS262177:RDS262179 RNO262177:RNO262179 RXK262177:RXK262179 SHG262177:SHG262179 SRC262177:SRC262179 TAY262177:TAY262179 TKU262177:TKU262179 TUQ262177:TUQ262179 UEM262177:UEM262179 UOI262177:UOI262179 UYE262177:UYE262179 VIA262177:VIA262179 VRW262177:VRW262179 WBS262177:WBS262179 WLO262177:WLO262179 WVK262177:WVK262179 C327713:C327715 IY327713:IY327715 SU327713:SU327715 ACQ327713:ACQ327715 AMM327713:AMM327715 AWI327713:AWI327715 BGE327713:BGE327715 BQA327713:BQA327715 BZW327713:BZW327715 CJS327713:CJS327715 CTO327713:CTO327715 DDK327713:DDK327715 DNG327713:DNG327715 DXC327713:DXC327715 EGY327713:EGY327715 EQU327713:EQU327715 FAQ327713:FAQ327715 FKM327713:FKM327715 FUI327713:FUI327715 GEE327713:GEE327715 GOA327713:GOA327715 GXW327713:GXW327715 HHS327713:HHS327715 HRO327713:HRO327715 IBK327713:IBK327715 ILG327713:ILG327715 IVC327713:IVC327715 JEY327713:JEY327715 JOU327713:JOU327715 JYQ327713:JYQ327715 KIM327713:KIM327715 KSI327713:KSI327715 LCE327713:LCE327715 LMA327713:LMA327715 LVW327713:LVW327715 MFS327713:MFS327715 MPO327713:MPO327715 MZK327713:MZK327715 NJG327713:NJG327715 NTC327713:NTC327715 OCY327713:OCY327715 OMU327713:OMU327715 OWQ327713:OWQ327715 PGM327713:PGM327715 PQI327713:PQI327715 QAE327713:QAE327715 QKA327713:QKA327715 QTW327713:QTW327715 RDS327713:RDS327715 RNO327713:RNO327715 RXK327713:RXK327715 SHG327713:SHG327715 SRC327713:SRC327715 TAY327713:TAY327715 TKU327713:TKU327715 TUQ327713:TUQ327715 UEM327713:UEM327715 UOI327713:UOI327715 UYE327713:UYE327715 VIA327713:VIA327715 VRW327713:VRW327715 WBS327713:WBS327715 WLO327713:WLO327715 WVK327713:WVK327715 C393249:C393251 IY393249:IY393251 SU393249:SU393251 ACQ393249:ACQ393251 AMM393249:AMM393251 AWI393249:AWI393251 BGE393249:BGE393251 BQA393249:BQA393251 BZW393249:BZW393251 CJS393249:CJS393251 CTO393249:CTO393251 DDK393249:DDK393251 DNG393249:DNG393251 DXC393249:DXC393251 EGY393249:EGY393251 EQU393249:EQU393251 FAQ393249:FAQ393251 FKM393249:FKM393251 FUI393249:FUI393251 GEE393249:GEE393251 GOA393249:GOA393251 GXW393249:GXW393251 HHS393249:HHS393251 HRO393249:HRO393251 IBK393249:IBK393251 ILG393249:ILG393251 IVC393249:IVC393251 JEY393249:JEY393251 JOU393249:JOU393251 JYQ393249:JYQ393251 KIM393249:KIM393251 KSI393249:KSI393251 LCE393249:LCE393251 LMA393249:LMA393251 LVW393249:LVW393251 MFS393249:MFS393251 MPO393249:MPO393251 MZK393249:MZK393251 NJG393249:NJG393251 NTC393249:NTC393251 OCY393249:OCY393251 OMU393249:OMU393251 OWQ393249:OWQ393251 PGM393249:PGM393251 PQI393249:PQI393251 QAE393249:QAE393251 QKA393249:QKA393251 QTW393249:QTW393251 RDS393249:RDS393251 RNO393249:RNO393251 RXK393249:RXK393251 SHG393249:SHG393251 SRC393249:SRC393251 TAY393249:TAY393251 TKU393249:TKU393251 TUQ393249:TUQ393251 UEM393249:UEM393251 UOI393249:UOI393251 UYE393249:UYE393251 VIA393249:VIA393251 VRW393249:VRW393251 WBS393249:WBS393251 WLO393249:WLO393251 WVK393249:WVK393251 C458785:C458787 IY458785:IY458787 SU458785:SU458787 ACQ458785:ACQ458787 AMM458785:AMM458787 AWI458785:AWI458787 BGE458785:BGE458787 BQA458785:BQA458787 BZW458785:BZW458787 CJS458785:CJS458787 CTO458785:CTO458787 DDK458785:DDK458787 DNG458785:DNG458787 DXC458785:DXC458787 EGY458785:EGY458787 EQU458785:EQU458787 FAQ458785:FAQ458787 FKM458785:FKM458787 FUI458785:FUI458787 GEE458785:GEE458787 GOA458785:GOA458787 GXW458785:GXW458787 HHS458785:HHS458787 HRO458785:HRO458787 IBK458785:IBK458787 ILG458785:ILG458787 IVC458785:IVC458787 JEY458785:JEY458787 JOU458785:JOU458787 JYQ458785:JYQ458787 KIM458785:KIM458787 KSI458785:KSI458787 LCE458785:LCE458787 LMA458785:LMA458787 LVW458785:LVW458787 MFS458785:MFS458787 MPO458785:MPO458787 MZK458785:MZK458787 NJG458785:NJG458787 NTC458785:NTC458787 OCY458785:OCY458787 OMU458785:OMU458787 OWQ458785:OWQ458787 PGM458785:PGM458787 PQI458785:PQI458787 QAE458785:QAE458787 QKA458785:QKA458787 QTW458785:QTW458787 RDS458785:RDS458787 RNO458785:RNO458787 RXK458785:RXK458787 SHG458785:SHG458787 SRC458785:SRC458787 TAY458785:TAY458787 TKU458785:TKU458787 TUQ458785:TUQ458787 UEM458785:UEM458787 UOI458785:UOI458787 UYE458785:UYE458787 VIA458785:VIA458787 VRW458785:VRW458787 WBS458785:WBS458787 WLO458785:WLO458787 WVK458785:WVK458787 C524321:C524323 IY524321:IY524323 SU524321:SU524323 ACQ524321:ACQ524323 AMM524321:AMM524323 AWI524321:AWI524323 BGE524321:BGE524323 BQA524321:BQA524323 BZW524321:BZW524323 CJS524321:CJS524323 CTO524321:CTO524323 DDK524321:DDK524323 DNG524321:DNG524323 DXC524321:DXC524323 EGY524321:EGY524323 EQU524321:EQU524323 FAQ524321:FAQ524323 FKM524321:FKM524323 FUI524321:FUI524323 GEE524321:GEE524323 GOA524321:GOA524323 GXW524321:GXW524323 HHS524321:HHS524323 HRO524321:HRO524323 IBK524321:IBK524323 ILG524321:ILG524323 IVC524321:IVC524323 JEY524321:JEY524323 JOU524321:JOU524323 JYQ524321:JYQ524323 KIM524321:KIM524323 KSI524321:KSI524323 LCE524321:LCE524323 LMA524321:LMA524323 LVW524321:LVW524323 MFS524321:MFS524323 MPO524321:MPO524323 MZK524321:MZK524323 NJG524321:NJG524323 NTC524321:NTC524323 OCY524321:OCY524323 OMU524321:OMU524323 OWQ524321:OWQ524323 PGM524321:PGM524323 PQI524321:PQI524323 QAE524321:QAE524323 QKA524321:QKA524323 QTW524321:QTW524323 RDS524321:RDS524323 RNO524321:RNO524323 RXK524321:RXK524323 SHG524321:SHG524323 SRC524321:SRC524323 TAY524321:TAY524323 TKU524321:TKU524323 TUQ524321:TUQ524323 UEM524321:UEM524323 UOI524321:UOI524323 UYE524321:UYE524323 VIA524321:VIA524323 VRW524321:VRW524323 WBS524321:WBS524323 WLO524321:WLO524323 WVK524321:WVK524323 C589857:C589859 IY589857:IY589859 SU589857:SU589859 ACQ589857:ACQ589859 AMM589857:AMM589859 AWI589857:AWI589859 BGE589857:BGE589859 BQA589857:BQA589859 BZW589857:BZW589859 CJS589857:CJS589859 CTO589857:CTO589859 DDK589857:DDK589859 DNG589857:DNG589859 DXC589857:DXC589859 EGY589857:EGY589859 EQU589857:EQU589859 FAQ589857:FAQ589859 FKM589857:FKM589859 FUI589857:FUI589859 GEE589857:GEE589859 GOA589857:GOA589859 GXW589857:GXW589859 HHS589857:HHS589859 HRO589857:HRO589859 IBK589857:IBK589859 ILG589857:ILG589859 IVC589857:IVC589859 JEY589857:JEY589859 JOU589857:JOU589859 JYQ589857:JYQ589859 KIM589857:KIM589859 KSI589857:KSI589859 LCE589857:LCE589859 LMA589857:LMA589859 LVW589857:LVW589859 MFS589857:MFS589859 MPO589857:MPO589859 MZK589857:MZK589859 NJG589857:NJG589859 NTC589857:NTC589859 OCY589857:OCY589859 OMU589857:OMU589859 OWQ589857:OWQ589859 PGM589857:PGM589859 PQI589857:PQI589859 QAE589857:QAE589859 QKA589857:QKA589859 QTW589857:QTW589859 RDS589857:RDS589859 RNO589857:RNO589859 RXK589857:RXK589859 SHG589857:SHG589859 SRC589857:SRC589859 TAY589857:TAY589859 TKU589857:TKU589859 TUQ589857:TUQ589859 UEM589857:UEM589859 UOI589857:UOI589859 UYE589857:UYE589859 VIA589857:VIA589859 VRW589857:VRW589859 WBS589857:WBS589859 WLO589857:WLO589859 WVK589857:WVK589859 C655393:C655395 IY655393:IY655395 SU655393:SU655395 ACQ655393:ACQ655395 AMM655393:AMM655395 AWI655393:AWI655395 BGE655393:BGE655395 BQA655393:BQA655395 BZW655393:BZW655395 CJS655393:CJS655395 CTO655393:CTO655395 DDK655393:DDK655395 DNG655393:DNG655395 DXC655393:DXC655395 EGY655393:EGY655395 EQU655393:EQU655395 FAQ655393:FAQ655395 FKM655393:FKM655395 FUI655393:FUI655395 GEE655393:GEE655395 GOA655393:GOA655395 GXW655393:GXW655395 HHS655393:HHS655395 HRO655393:HRO655395 IBK655393:IBK655395 ILG655393:ILG655395 IVC655393:IVC655395 JEY655393:JEY655395 JOU655393:JOU655395 JYQ655393:JYQ655395 KIM655393:KIM655395 KSI655393:KSI655395 LCE655393:LCE655395 LMA655393:LMA655395 LVW655393:LVW655395 MFS655393:MFS655395 MPO655393:MPO655395 MZK655393:MZK655395 NJG655393:NJG655395 NTC655393:NTC655395 OCY655393:OCY655395 OMU655393:OMU655395 OWQ655393:OWQ655395 PGM655393:PGM655395 PQI655393:PQI655395 QAE655393:QAE655395 QKA655393:QKA655395 QTW655393:QTW655395 RDS655393:RDS655395 RNO655393:RNO655395 RXK655393:RXK655395 SHG655393:SHG655395 SRC655393:SRC655395 TAY655393:TAY655395 TKU655393:TKU655395 TUQ655393:TUQ655395 UEM655393:UEM655395 UOI655393:UOI655395 UYE655393:UYE655395 VIA655393:VIA655395 VRW655393:VRW655395 WBS655393:WBS655395 WLO655393:WLO655395 WVK655393:WVK655395 C720929:C720931 IY720929:IY720931 SU720929:SU720931 ACQ720929:ACQ720931 AMM720929:AMM720931 AWI720929:AWI720931 BGE720929:BGE720931 BQA720929:BQA720931 BZW720929:BZW720931 CJS720929:CJS720931 CTO720929:CTO720931 DDK720929:DDK720931 DNG720929:DNG720931 DXC720929:DXC720931 EGY720929:EGY720931 EQU720929:EQU720931 FAQ720929:FAQ720931 FKM720929:FKM720931 FUI720929:FUI720931 GEE720929:GEE720931 GOA720929:GOA720931 GXW720929:GXW720931 HHS720929:HHS720931 HRO720929:HRO720931 IBK720929:IBK720931 ILG720929:ILG720931 IVC720929:IVC720931 JEY720929:JEY720931 JOU720929:JOU720931 JYQ720929:JYQ720931 KIM720929:KIM720931 KSI720929:KSI720931 LCE720929:LCE720931 LMA720929:LMA720931 LVW720929:LVW720931 MFS720929:MFS720931 MPO720929:MPO720931 MZK720929:MZK720931 NJG720929:NJG720931 NTC720929:NTC720931 OCY720929:OCY720931 OMU720929:OMU720931 OWQ720929:OWQ720931 PGM720929:PGM720931 PQI720929:PQI720931 QAE720929:QAE720931 QKA720929:QKA720931 QTW720929:QTW720931 RDS720929:RDS720931 RNO720929:RNO720931 RXK720929:RXK720931 SHG720929:SHG720931 SRC720929:SRC720931 TAY720929:TAY720931 TKU720929:TKU720931 TUQ720929:TUQ720931 UEM720929:UEM720931 UOI720929:UOI720931 UYE720929:UYE720931 VIA720929:VIA720931 VRW720929:VRW720931 WBS720929:WBS720931 WLO720929:WLO720931 WVK720929:WVK720931 C786465:C786467 IY786465:IY786467 SU786465:SU786467 ACQ786465:ACQ786467 AMM786465:AMM786467 AWI786465:AWI786467 BGE786465:BGE786467 BQA786465:BQA786467 BZW786465:BZW786467 CJS786465:CJS786467 CTO786465:CTO786467 DDK786465:DDK786467 DNG786465:DNG786467 DXC786465:DXC786467 EGY786465:EGY786467 EQU786465:EQU786467 FAQ786465:FAQ786467 FKM786465:FKM786467 FUI786465:FUI786467 GEE786465:GEE786467 GOA786465:GOA786467 GXW786465:GXW786467 HHS786465:HHS786467 HRO786465:HRO786467 IBK786465:IBK786467 ILG786465:ILG786467 IVC786465:IVC786467 JEY786465:JEY786467 JOU786465:JOU786467 JYQ786465:JYQ786467 KIM786465:KIM786467 KSI786465:KSI786467 LCE786465:LCE786467 LMA786465:LMA786467 LVW786465:LVW786467 MFS786465:MFS786467 MPO786465:MPO786467 MZK786465:MZK786467 NJG786465:NJG786467 NTC786465:NTC786467 OCY786465:OCY786467 OMU786465:OMU786467 OWQ786465:OWQ786467 PGM786465:PGM786467 PQI786465:PQI786467 QAE786465:QAE786467 QKA786465:QKA786467 QTW786465:QTW786467 RDS786465:RDS786467 RNO786465:RNO786467 RXK786465:RXK786467 SHG786465:SHG786467 SRC786465:SRC786467 TAY786465:TAY786467 TKU786465:TKU786467 TUQ786465:TUQ786467 UEM786465:UEM786467 UOI786465:UOI786467 UYE786465:UYE786467 VIA786465:VIA786467 VRW786465:VRW786467 WBS786465:WBS786467 WLO786465:WLO786467 WVK786465:WVK786467 C852001:C852003 IY852001:IY852003 SU852001:SU852003 ACQ852001:ACQ852003 AMM852001:AMM852003 AWI852001:AWI852003 BGE852001:BGE852003 BQA852001:BQA852003 BZW852001:BZW852003 CJS852001:CJS852003 CTO852001:CTO852003 DDK852001:DDK852003 DNG852001:DNG852003 DXC852001:DXC852003 EGY852001:EGY852003 EQU852001:EQU852003 FAQ852001:FAQ852003 FKM852001:FKM852003 FUI852001:FUI852003 GEE852001:GEE852003 GOA852001:GOA852003 GXW852001:GXW852003 HHS852001:HHS852003 HRO852001:HRO852003 IBK852001:IBK852003 ILG852001:ILG852003 IVC852001:IVC852003 JEY852001:JEY852003 JOU852001:JOU852003 JYQ852001:JYQ852003 KIM852001:KIM852003 KSI852001:KSI852003 LCE852001:LCE852003 LMA852001:LMA852003 LVW852001:LVW852003 MFS852001:MFS852003 MPO852001:MPO852003 MZK852001:MZK852003 NJG852001:NJG852003 NTC852001:NTC852003 OCY852001:OCY852003 OMU852001:OMU852003 OWQ852001:OWQ852003 PGM852001:PGM852003 PQI852001:PQI852003 QAE852001:QAE852003 QKA852001:QKA852003 QTW852001:QTW852003 RDS852001:RDS852003 RNO852001:RNO852003 RXK852001:RXK852003 SHG852001:SHG852003 SRC852001:SRC852003 TAY852001:TAY852003 TKU852001:TKU852003 TUQ852001:TUQ852003 UEM852001:UEM852003 UOI852001:UOI852003 UYE852001:UYE852003 VIA852001:VIA852003 VRW852001:VRW852003 WBS852001:WBS852003 WLO852001:WLO852003 WVK852001:WVK852003 C917537:C917539 IY917537:IY917539 SU917537:SU917539 ACQ917537:ACQ917539 AMM917537:AMM917539 AWI917537:AWI917539 BGE917537:BGE917539 BQA917537:BQA917539 BZW917537:BZW917539 CJS917537:CJS917539 CTO917537:CTO917539 DDK917537:DDK917539 DNG917537:DNG917539 DXC917537:DXC917539 EGY917537:EGY917539 EQU917537:EQU917539 FAQ917537:FAQ917539 FKM917537:FKM917539 FUI917537:FUI917539 GEE917537:GEE917539 GOA917537:GOA917539 GXW917537:GXW917539 HHS917537:HHS917539 HRO917537:HRO917539 IBK917537:IBK917539 ILG917537:ILG917539 IVC917537:IVC917539 JEY917537:JEY917539 JOU917537:JOU917539 JYQ917537:JYQ917539 KIM917537:KIM917539 KSI917537:KSI917539 LCE917537:LCE917539 LMA917537:LMA917539 LVW917537:LVW917539 MFS917537:MFS917539 MPO917537:MPO917539 MZK917537:MZK917539 NJG917537:NJG917539 NTC917537:NTC917539 OCY917537:OCY917539 OMU917537:OMU917539 OWQ917537:OWQ917539 PGM917537:PGM917539 PQI917537:PQI917539 QAE917537:QAE917539 QKA917537:QKA917539 QTW917537:QTW917539 RDS917537:RDS917539 RNO917537:RNO917539 RXK917537:RXK917539 SHG917537:SHG917539 SRC917537:SRC917539 TAY917537:TAY917539 TKU917537:TKU917539 TUQ917537:TUQ917539 UEM917537:UEM917539 UOI917537:UOI917539 UYE917537:UYE917539 VIA917537:VIA917539 VRW917537:VRW917539 WBS917537:WBS917539 WLO917537:WLO917539 WVK917537:WVK917539 C983073:C983075 IY983073:IY983075 SU983073:SU983075 ACQ983073:ACQ983075 AMM983073:AMM983075 AWI983073:AWI983075 BGE983073:BGE983075 BQA983073:BQA983075 BZW983073:BZW983075 CJS983073:CJS983075 CTO983073:CTO983075 DDK983073:DDK983075 DNG983073:DNG983075 DXC983073:DXC983075 EGY983073:EGY983075 EQU983073:EQU983075 FAQ983073:FAQ983075 FKM983073:FKM983075 FUI983073:FUI983075 GEE983073:GEE983075 GOA983073:GOA983075 GXW983073:GXW983075 HHS983073:HHS983075 HRO983073:HRO983075 IBK983073:IBK983075 ILG983073:ILG983075 IVC983073:IVC983075 JEY983073:JEY983075 JOU983073:JOU983075 JYQ983073:JYQ983075 KIM983073:KIM983075 KSI983073:KSI983075 LCE983073:LCE983075 LMA983073:LMA983075 LVW983073:LVW983075 MFS983073:MFS983075 MPO983073:MPO983075 MZK983073:MZK983075 NJG983073:NJG983075 NTC983073:NTC983075 OCY983073:OCY983075 OMU983073:OMU983075 OWQ983073:OWQ983075 PGM983073:PGM983075 PQI983073:PQI983075 QAE983073:QAE983075 QKA983073:QKA983075 QTW983073:QTW983075 RDS983073:RDS983075 RNO983073:RNO983075 RXK983073:RXK983075 SHG983073:SHG983075 SRC983073:SRC983075 TAY983073:TAY983075 TKU983073:TKU983075 TUQ983073:TUQ983075 UEM983073:UEM983075 UOI983073:UOI983075 UYE983073:UYE983075 VIA983073:VIA983075 VRW983073:VRW983075 WBS983073:WBS983075 WLO983073:WLO983075 WVK983073:WVK983075" xr:uid="{9C9E141D-007C-42C9-960B-9666543A3E4E}">
      <formula1>" -,12,16,20,25"</formula1>
    </dataValidation>
    <dataValidation type="list" allowBlank="1" showInputMessage="1" showErrorMessage="1" sqref="E15 JA15 SW15 ACS15 AMO15 AWK15 BGG15 BQC15 BZY15 CJU15 CTQ15 DDM15 DNI15 DXE15 EHA15 EQW15 FAS15 FKO15 FUK15 GEG15 GOC15 GXY15 HHU15 HRQ15 IBM15 ILI15 IVE15 JFA15 JOW15 JYS15 KIO15 KSK15 LCG15 LMC15 LVY15 MFU15 MPQ15 MZM15 NJI15 NTE15 ODA15 OMW15 OWS15 PGO15 PQK15 QAG15 QKC15 QTY15 RDU15 RNQ15 RXM15 SHI15 SRE15 TBA15 TKW15 TUS15 UEO15 UOK15 UYG15 VIC15 VRY15 WBU15 WLQ15 WVM15 E65551 JA65551 SW65551 ACS65551 AMO65551 AWK65551 BGG65551 BQC65551 BZY65551 CJU65551 CTQ65551 DDM65551 DNI65551 DXE65551 EHA65551 EQW65551 FAS65551 FKO65551 FUK65551 GEG65551 GOC65551 GXY65551 HHU65551 HRQ65551 IBM65551 ILI65551 IVE65551 JFA65551 JOW65551 JYS65551 KIO65551 KSK65551 LCG65551 LMC65551 LVY65551 MFU65551 MPQ65551 MZM65551 NJI65551 NTE65551 ODA65551 OMW65551 OWS65551 PGO65551 PQK65551 QAG65551 QKC65551 QTY65551 RDU65551 RNQ65551 RXM65551 SHI65551 SRE65551 TBA65551 TKW65551 TUS65551 UEO65551 UOK65551 UYG65551 VIC65551 VRY65551 WBU65551 WLQ65551 WVM65551 E131087 JA131087 SW131087 ACS131087 AMO131087 AWK131087 BGG131087 BQC131087 BZY131087 CJU131087 CTQ131087 DDM131087 DNI131087 DXE131087 EHA131087 EQW131087 FAS131087 FKO131087 FUK131087 GEG131087 GOC131087 GXY131087 HHU131087 HRQ131087 IBM131087 ILI131087 IVE131087 JFA131087 JOW131087 JYS131087 KIO131087 KSK131087 LCG131087 LMC131087 LVY131087 MFU131087 MPQ131087 MZM131087 NJI131087 NTE131087 ODA131087 OMW131087 OWS131087 PGO131087 PQK131087 QAG131087 QKC131087 QTY131087 RDU131087 RNQ131087 RXM131087 SHI131087 SRE131087 TBA131087 TKW131087 TUS131087 UEO131087 UOK131087 UYG131087 VIC131087 VRY131087 WBU131087 WLQ131087 WVM131087 E196623 JA196623 SW196623 ACS196623 AMO196623 AWK196623 BGG196623 BQC196623 BZY196623 CJU196623 CTQ196623 DDM196623 DNI196623 DXE196623 EHA196623 EQW196623 FAS196623 FKO196623 FUK196623 GEG196623 GOC196623 GXY196623 HHU196623 HRQ196623 IBM196623 ILI196623 IVE196623 JFA196623 JOW196623 JYS196623 KIO196623 KSK196623 LCG196623 LMC196623 LVY196623 MFU196623 MPQ196623 MZM196623 NJI196623 NTE196623 ODA196623 OMW196623 OWS196623 PGO196623 PQK196623 QAG196623 QKC196623 QTY196623 RDU196623 RNQ196623 RXM196623 SHI196623 SRE196623 TBA196623 TKW196623 TUS196623 UEO196623 UOK196623 UYG196623 VIC196623 VRY196623 WBU196623 WLQ196623 WVM196623 E262159 JA262159 SW262159 ACS262159 AMO262159 AWK262159 BGG262159 BQC262159 BZY262159 CJU262159 CTQ262159 DDM262159 DNI262159 DXE262159 EHA262159 EQW262159 FAS262159 FKO262159 FUK262159 GEG262159 GOC262159 GXY262159 HHU262159 HRQ262159 IBM262159 ILI262159 IVE262159 JFA262159 JOW262159 JYS262159 KIO262159 KSK262159 LCG262159 LMC262159 LVY262159 MFU262159 MPQ262159 MZM262159 NJI262159 NTE262159 ODA262159 OMW262159 OWS262159 PGO262159 PQK262159 QAG262159 QKC262159 QTY262159 RDU262159 RNQ262159 RXM262159 SHI262159 SRE262159 TBA262159 TKW262159 TUS262159 UEO262159 UOK262159 UYG262159 VIC262159 VRY262159 WBU262159 WLQ262159 WVM262159 E327695 JA327695 SW327695 ACS327695 AMO327695 AWK327695 BGG327695 BQC327695 BZY327695 CJU327695 CTQ327695 DDM327695 DNI327695 DXE327695 EHA327695 EQW327695 FAS327695 FKO327695 FUK327695 GEG327695 GOC327695 GXY327695 HHU327695 HRQ327695 IBM327695 ILI327695 IVE327695 JFA327695 JOW327695 JYS327695 KIO327695 KSK327695 LCG327695 LMC327695 LVY327695 MFU327695 MPQ327695 MZM327695 NJI327695 NTE327695 ODA327695 OMW327695 OWS327695 PGO327695 PQK327695 QAG327695 QKC327695 QTY327695 RDU327695 RNQ327695 RXM327695 SHI327695 SRE327695 TBA327695 TKW327695 TUS327695 UEO327695 UOK327695 UYG327695 VIC327695 VRY327695 WBU327695 WLQ327695 WVM327695 E393231 JA393231 SW393231 ACS393231 AMO393231 AWK393231 BGG393231 BQC393231 BZY393231 CJU393231 CTQ393231 DDM393231 DNI393231 DXE393231 EHA393231 EQW393231 FAS393231 FKO393231 FUK393231 GEG393231 GOC393231 GXY393231 HHU393231 HRQ393231 IBM393231 ILI393231 IVE393231 JFA393231 JOW393231 JYS393231 KIO393231 KSK393231 LCG393231 LMC393231 LVY393231 MFU393231 MPQ393231 MZM393231 NJI393231 NTE393231 ODA393231 OMW393231 OWS393231 PGO393231 PQK393231 QAG393231 QKC393231 QTY393231 RDU393231 RNQ393231 RXM393231 SHI393231 SRE393231 TBA393231 TKW393231 TUS393231 UEO393231 UOK393231 UYG393231 VIC393231 VRY393231 WBU393231 WLQ393231 WVM393231 E458767 JA458767 SW458767 ACS458767 AMO458767 AWK458767 BGG458767 BQC458767 BZY458767 CJU458767 CTQ458767 DDM458767 DNI458767 DXE458767 EHA458767 EQW458767 FAS458767 FKO458767 FUK458767 GEG458767 GOC458767 GXY458767 HHU458767 HRQ458767 IBM458767 ILI458767 IVE458767 JFA458767 JOW458767 JYS458767 KIO458767 KSK458767 LCG458767 LMC458767 LVY458767 MFU458767 MPQ458767 MZM458767 NJI458767 NTE458767 ODA458767 OMW458767 OWS458767 PGO458767 PQK458767 QAG458767 QKC458767 QTY458767 RDU458767 RNQ458767 RXM458767 SHI458767 SRE458767 TBA458767 TKW458767 TUS458767 UEO458767 UOK458767 UYG458767 VIC458767 VRY458767 WBU458767 WLQ458767 WVM458767 E524303 JA524303 SW524303 ACS524303 AMO524303 AWK524303 BGG524303 BQC524303 BZY524303 CJU524303 CTQ524303 DDM524303 DNI524303 DXE524303 EHA524303 EQW524303 FAS524303 FKO524303 FUK524303 GEG524303 GOC524303 GXY524303 HHU524303 HRQ524303 IBM524303 ILI524303 IVE524303 JFA524303 JOW524303 JYS524303 KIO524303 KSK524303 LCG524303 LMC524303 LVY524303 MFU524303 MPQ524303 MZM524303 NJI524303 NTE524303 ODA524303 OMW524303 OWS524303 PGO524303 PQK524303 QAG524303 QKC524303 QTY524303 RDU524303 RNQ524303 RXM524303 SHI524303 SRE524303 TBA524303 TKW524303 TUS524303 UEO524303 UOK524303 UYG524303 VIC524303 VRY524303 WBU524303 WLQ524303 WVM524303 E589839 JA589839 SW589839 ACS589839 AMO589839 AWK589839 BGG589839 BQC589839 BZY589839 CJU589839 CTQ589839 DDM589839 DNI589839 DXE589839 EHA589839 EQW589839 FAS589839 FKO589839 FUK589839 GEG589839 GOC589839 GXY589839 HHU589839 HRQ589839 IBM589839 ILI589839 IVE589839 JFA589839 JOW589839 JYS589839 KIO589839 KSK589839 LCG589839 LMC589839 LVY589839 MFU589839 MPQ589839 MZM589839 NJI589839 NTE589839 ODA589839 OMW589839 OWS589839 PGO589839 PQK589839 QAG589839 QKC589839 QTY589839 RDU589839 RNQ589839 RXM589839 SHI589839 SRE589839 TBA589839 TKW589839 TUS589839 UEO589839 UOK589839 UYG589839 VIC589839 VRY589839 WBU589839 WLQ589839 WVM589839 E655375 JA655375 SW655375 ACS655375 AMO655375 AWK655375 BGG655375 BQC655375 BZY655375 CJU655375 CTQ655375 DDM655375 DNI655375 DXE655375 EHA655375 EQW655375 FAS655375 FKO655375 FUK655375 GEG655375 GOC655375 GXY655375 HHU655375 HRQ655375 IBM655375 ILI655375 IVE655375 JFA655375 JOW655375 JYS655375 KIO655375 KSK655375 LCG655375 LMC655375 LVY655375 MFU655375 MPQ655375 MZM655375 NJI655375 NTE655375 ODA655375 OMW655375 OWS655375 PGO655375 PQK655375 QAG655375 QKC655375 QTY655375 RDU655375 RNQ655375 RXM655375 SHI655375 SRE655375 TBA655375 TKW655375 TUS655375 UEO655375 UOK655375 UYG655375 VIC655375 VRY655375 WBU655375 WLQ655375 WVM655375 E720911 JA720911 SW720911 ACS720911 AMO720911 AWK720911 BGG720911 BQC720911 BZY720911 CJU720911 CTQ720911 DDM720911 DNI720911 DXE720911 EHA720911 EQW720911 FAS720911 FKO720911 FUK720911 GEG720911 GOC720911 GXY720911 HHU720911 HRQ720911 IBM720911 ILI720911 IVE720911 JFA720911 JOW720911 JYS720911 KIO720911 KSK720911 LCG720911 LMC720911 LVY720911 MFU720911 MPQ720911 MZM720911 NJI720911 NTE720911 ODA720911 OMW720911 OWS720911 PGO720911 PQK720911 QAG720911 QKC720911 QTY720911 RDU720911 RNQ720911 RXM720911 SHI720911 SRE720911 TBA720911 TKW720911 TUS720911 UEO720911 UOK720911 UYG720911 VIC720911 VRY720911 WBU720911 WLQ720911 WVM720911 E786447 JA786447 SW786447 ACS786447 AMO786447 AWK786447 BGG786447 BQC786447 BZY786447 CJU786447 CTQ786447 DDM786447 DNI786447 DXE786447 EHA786447 EQW786447 FAS786447 FKO786447 FUK786447 GEG786447 GOC786447 GXY786447 HHU786447 HRQ786447 IBM786447 ILI786447 IVE786447 JFA786447 JOW786447 JYS786447 KIO786447 KSK786447 LCG786447 LMC786447 LVY786447 MFU786447 MPQ786447 MZM786447 NJI786447 NTE786447 ODA786447 OMW786447 OWS786447 PGO786447 PQK786447 QAG786447 QKC786447 QTY786447 RDU786447 RNQ786447 RXM786447 SHI786447 SRE786447 TBA786447 TKW786447 TUS786447 UEO786447 UOK786447 UYG786447 VIC786447 VRY786447 WBU786447 WLQ786447 WVM786447 E851983 JA851983 SW851983 ACS851983 AMO851983 AWK851983 BGG851983 BQC851983 BZY851983 CJU851983 CTQ851983 DDM851983 DNI851983 DXE851983 EHA851983 EQW851983 FAS851983 FKO851983 FUK851983 GEG851983 GOC851983 GXY851983 HHU851983 HRQ851983 IBM851983 ILI851983 IVE851983 JFA851983 JOW851983 JYS851983 KIO851983 KSK851983 LCG851983 LMC851983 LVY851983 MFU851983 MPQ851983 MZM851983 NJI851983 NTE851983 ODA851983 OMW851983 OWS851983 PGO851983 PQK851983 QAG851983 QKC851983 QTY851983 RDU851983 RNQ851983 RXM851983 SHI851983 SRE851983 TBA851983 TKW851983 TUS851983 UEO851983 UOK851983 UYG851983 VIC851983 VRY851983 WBU851983 WLQ851983 WVM851983 E917519 JA917519 SW917519 ACS917519 AMO917519 AWK917519 BGG917519 BQC917519 BZY917519 CJU917519 CTQ917519 DDM917519 DNI917519 DXE917519 EHA917519 EQW917519 FAS917519 FKO917519 FUK917519 GEG917519 GOC917519 GXY917519 HHU917519 HRQ917519 IBM917519 ILI917519 IVE917519 JFA917519 JOW917519 JYS917519 KIO917519 KSK917519 LCG917519 LMC917519 LVY917519 MFU917519 MPQ917519 MZM917519 NJI917519 NTE917519 ODA917519 OMW917519 OWS917519 PGO917519 PQK917519 QAG917519 QKC917519 QTY917519 RDU917519 RNQ917519 RXM917519 SHI917519 SRE917519 TBA917519 TKW917519 TUS917519 UEO917519 UOK917519 UYG917519 VIC917519 VRY917519 WBU917519 WLQ917519 WVM917519 E983055 JA983055 SW983055 ACS983055 AMO983055 AWK983055 BGG983055 BQC983055 BZY983055 CJU983055 CTQ983055 DDM983055 DNI983055 DXE983055 EHA983055 EQW983055 FAS983055 FKO983055 FUK983055 GEG983055 GOC983055 GXY983055 HHU983055 HRQ983055 IBM983055 ILI983055 IVE983055 JFA983055 JOW983055 JYS983055 KIO983055 KSK983055 LCG983055 LMC983055 LVY983055 MFU983055 MPQ983055 MZM983055 NJI983055 NTE983055 ODA983055 OMW983055 OWS983055 PGO983055 PQK983055 QAG983055 QKC983055 QTY983055 RDU983055 RNQ983055 RXM983055 SHI983055 SRE983055 TBA983055 TKW983055 TUS983055 UEO983055 UOK983055 UYG983055 VIC983055 VRY983055 WBU983055 WLQ983055 WVM983055" xr:uid="{D8347CE0-114E-4F00-928C-EBA0B987D6C3}">
      <formula1>"15,20,25,30"</formula1>
    </dataValidation>
    <dataValidation type="list" allowBlank="1" showInputMessage="1" showErrorMessage="1" sqref="E16 JA16 SW16 ACS16 AMO16 AWK16 BGG16 BQC16 BZY16 CJU16 CTQ16 DDM16 DNI16 DXE16 EHA16 EQW16 FAS16 FKO16 FUK16 GEG16 GOC16 GXY16 HHU16 HRQ16 IBM16 ILI16 IVE16 JFA16 JOW16 JYS16 KIO16 KSK16 LCG16 LMC16 LVY16 MFU16 MPQ16 MZM16 NJI16 NTE16 ODA16 OMW16 OWS16 PGO16 PQK16 QAG16 QKC16 QTY16 RDU16 RNQ16 RXM16 SHI16 SRE16 TBA16 TKW16 TUS16 UEO16 UOK16 UYG16 VIC16 VRY16 WBU16 WLQ16 WVM16 E65552 JA65552 SW65552 ACS65552 AMO65552 AWK65552 BGG65552 BQC65552 BZY65552 CJU65552 CTQ65552 DDM65552 DNI65552 DXE65552 EHA65552 EQW65552 FAS65552 FKO65552 FUK65552 GEG65552 GOC65552 GXY65552 HHU65552 HRQ65552 IBM65552 ILI65552 IVE65552 JFA65552 JOW65552 JYS65552 KIO65552 KSK65552 LCG65552 LMC65552 LVY65552 MFU65552 MPQ65552 MZM65552 NJI65552 NTE65552 ODA65552 OMW65552 OWS65552 PGO65552 PQK65552 QAG65552 QKC65552 QTY65552 RDU65552 RNQ65552 RXM65552 SHI65552 SRE65552 TBA65552 TKW65552 TUS65552 UEO65552 UOK65552 UYG65552 VIC65552 VRY65552 WBU65552 WLQ65552 WVM65552 E131088 JA131088 SW131088 ACS131088 AMO131088 AWK131088 BGG131088 BQC131088 BZY131088 CJU131088 CTQ131088 DDM131088 DNI131088 DXE131088 EHA131088 EQW131088 FAS131088 FKO131088 FUK131088 GEG131088 GOC131088 GXY131088 HHU131088 HRQ131088 IBM131088 ILI131088 IVE131088 JFA131088 JOW131088 JYS131088 KIO131088 KSK131088 LCG131088 LMC131088 LVY131088 MFU131088 MPQ131088 MZM131088 NJI131088 NTE131088 ODA131088 OMW131088 OWS131088 PGO131088 PQK131088 QAG131088 QKC131088 QTY131088 RDU131088 RNQ131088 RXM131088 SHI131088 SRE131088 TBA131088 TKW131088 TUS131088 UEO131088 UOK131088 UYG131088 VIC131088 VRY131088 WBU131088 WLQ131088 WVM131088 E196624 JA196624 SW196624 ACS196624 AMO196624 AWK196624 BGG196624 BQC196624 BZY196624 CJU196624 CTQ196624 DDM196624 DNI196624 DXE196624 EHA196624 EQW196624 FAS196624 FKO196624 FUK196624 GEG196624 GOC196624 GXY196624 HHU196624 HRQ196624 IBM196624 ILI196624 IVE196624 JFA196624 JOW196624 JYS196624 KIO196624 KSK196624 LCG196624 LMC196624 LVY196624 MFU196624 MPQ196624 MZM196624 NJI196624 NTE196624 ODA196624 OMW196624 OWS196624 PGO196624 PQK196624 QAG196624 QKC196624 QTY196624 RDU196624 RNQ196624 RXM196624 SHI196624 SRE196624 TBA196624 TKW196624 TUS196624 UEO196624 UOK196624 UYG196624 VIC196624 VRY196624 WBU196624 WLQ196624 WVM196624 E262160 JA262160 SW262160 ACS262160 AMO262160 AWK262160 BGG262160 BQC262160 BZY262160 CJU262160 CTQ262160 DDM262160 DNI262160 DXE262160 EHA262160 EQW262160 FAS262160 FKO262160 FUK262160 GEG262160 GOC262160 GXY262160 HHU262160 HRQ262160 IBM262160 ILI262160 IVE262160 JFA262160 JOW262160 JYS262160 KIO262160 KSK262160 LCG262160 LMC262160 LVY262160 MFU262160 MPQ262160 MZM262160 NJI262160 NTE262160 ODA262160 OMW262160 OWS262160 PGO262160 PQK262160 QAG262160 QKC262160 QTY262160 RDU262160 RNQ262160 RXM262160 SHI262160 SRE262160 TBA262160 TKW262160 TUS262160 UEO262160 UOK262160 UYG262160 VIC262160 VRY262160 WBU262160 WLQ262160 WVM262160 E327696 JA327696 SW327696 ACS327696 AMO327696 AWK327696 BGG327696 BQC327696 BZY327696 CJU327696 CTQ327696 DDM327696 DNI327696 DXE327696 EHA327696 EQW327696 FAS327696 FKO327696 FUK327696 GEG327696 GOC327696 GXY327696 HHU327696 HRQ327696 IBM327696 ILI327696 IVE327696 JFA327696 JOW327696 JYS327696 KIO327696 KSK327696 LCG327696 LMC327696 LVY327696 MFU327696 MPQ327696 MZM327696 NJI327696 NTE327696 ODA327696 OMW327696 OWS327696 PGO327696 PQK327696 QAG327696 QKC327696 QTY327696 RDU327696 RNQ327696 RXM327696 SHI327696 SRE327696 TBA327696 TKW327696 TUS327696 UEO327696 UOK327696 UYG327696 VIC327696 VRY327696 WBU327696 WLQ327696 WVM327696 E393232 JA393232 SW393232 ACS393232 AMO393232 AWK393232 BGG393232 BQC393232 BZY393232 CJU393232 CTQ393232 DDM393232 DNI393232 DXE393232 EHA393232 EQW393232 FAS393232 FKO393232 FUK393232 GEG393232 GOC393232 GXY393232 HHU393232 HRQ393232 IBM393232 ILI393232 IVE393232 JFA393232 JOW393232 JYS393232 KIO393232 KSK393232 LCG393232 LMC393232 LVY393232 MFU393232 MPQ393232 MZM393232 NJI393232 NTE393232 ODA393232 OMW393232 OWS393232 PGO393232 PQK393232 QAG393232 QKC393232 QTY393232 RDU393232 RNQ393232 RXM393232 SHI393232 SRE393232 TBA393232 TKW393232 TUS393232 UEO393232 UOK393232 UYG393232 VIC393232 VRY393232 WBU393232 WLQ393232 WVM393232 E458768 JA458768 SW458768 ACS458768 AMO458768 AWK458768 BGG458768 BQC458768 BZY458768 CJU458768 CTQ458768 DDM458768 DNI458768 DXE458768 EHA458768 EQW458768 FAS458768 FKO458768 FUK458768 GEG458768 GOC458768 GXY458768 HHU458768 HRQ458768 IBM458768 ILI458768 IVE458768 JFA458768 JOW458768 JYS458768 KIO458768 KSK458768 LCG458768 LMC458768 LVY458768 MFU458768 MPQ458768 MZM458768 NJI458768 NTE458768 ODA458768 OMW458768 OWS458768 PGO458768 PQK458768 QAG458768 QKC458768 QTY458768 RDU458768 RNQ458768 RXM458768 SHI458768 SRE458768 TBA458768 TKW458768 TUS458768 UEO458768 UOK458768 UYG458768 VIC458768 VRY458768 WBU458768 WLQ458768 WVM458768 E524304 JA524304 SW524304 ACS524304 AMO524304 AWK524304 BGG524304 BQC524304 BZY524304 CJU524304 CTQ524304 DDM524304 DNI524304 DXE524304 EHA524304 EQW524304 FAS524304 FKO524304 FUK524304 GEG524304 GOC524304 GXY524304 HHU524304 HRQ524304 IBM524304 ILI524304 IVE524304 JFA524304 JOW524304 JYS524304 KIO524304 KSK524304 LCG524304 LMC524304 LVY524304 MFU524304 MPQ524304 MZM524304 NJI524304 NTE524304 ODA524304 OMW524304 OWS524304 PGO524304 PQK524304 QAG524304 QKC524304 QTY524304 RDU524304 RNQ524304 RXM524304 SHI524304 SRE524304 TBA524304 TKW524304 TUS524304 UEO524304 UOK524304 UYG524304 VIC524304 VRY524304 WBU524304 WLQ524304 WVM524304 E589840 JA589840 SW589840 ACS589840 AMO589840 AWK589840 BGG589840 BQC589840 BZY589840 CJU589840 CTQ589840 DDM589840 DNI589840 DXE589840 EHA589840 EQW589840 FAS589840 FKO589840 FUK589840 GEG589840 GOC589840 GXY589840 HHU589840 HRQ589840 IBM589840 ILI589840 IVE589840 JFA589840 JOW589840 JYS589840 KIO589840 KSK589840 LCG589840 LMC589840 LVY589840 MFU589840 MPQ589840 MZM589840 NJI589840 NTE589840 ODA589840 OMW589840 OWS589840 PGO589840 PQK589840 QAG589840 QKC589840 QTY589840 RDU589840 RNQ589840 RXM589840 SHI589840 SRE589840 TBA589840 TKW589840 TUS589840 UEO589840 UOK589840 UYG589840 VIC589840 VRY589840 WBU589840 WLQ589840 WVM589840 E655376 JA655376 SW655376 ACS655376 AMO655376 AWK655376 BGG655376 BQC655376 BZY655376 CJU655376 CTQ655376 DDM655376 DNI655376 DXE655376 EHA655376 EQW655376 FAS655376 FKO655376 FUK655376 GEG655376 GOC655376 GXY655376 HHU655376 HRQ655376 IBM655376 ILI655376 IVE655376 JFA655376 JOW655376 JYS655376 KIO655376 KSK655376 LCG655376 LMC655376 LVY655376 MFU655376 MPQ655376 MZM655376 NJI655376 NTE655376 ODA655376 OMW655376 OWS655376 PGO655376 PQK655376 QAG655376 QKC655376 QTY655376 RDU655376 RNQ655376 RXM655376 SHI655376 SRE655376 TBA655376 TKW655376 TUS655376 UEO655376 UOK655376 UYG655376 VIC655376 VRY655376 WBU655376 WLQ655376 WVM655376 E720912 JA720912 SW720912 ACS720912 AMO720912 AWK720912 BGG720912 BQC720912 BZY720912 CJU720912 CTQ720912 DDM720912 DNI720912 DXE720912 EHA720912 EQW720912 FAS720912 FKO720912 FUK720912 GEG720912 GOC720912 GXY720912 HHU720912 HRQ720912 IBM720912 ILI720912 IVE720912 JFA720912 JOW720912 JYS720912 KIO720912 KSK720912 LCG720912 LMC720912 LVY720912 MFU720912 MPQ720912 MZM720912 NJI720912 NTE720912 ODA720912 OMW720912 OWS720912 PGO720912 PQK720912 QAG720912 QKC720912 QTY720912 RDU720912 RNQ720912 RXM720912 SHI720912 SRE720912 TBA720912 TKW720912 TUS720912 UEO720912 UOK720912 UYG720912 VIC720912 VRY720912 WBU720912 WLQ720912 WVM720912 E786448 JA786448 SW786448 ACS786448 AMO786448 AWK786448 BGG786448 BQC786448 BZY786448 CJU786448 CTQ786448 DDM786448 DNI786448 DXE786448 EHA786448 EQW786448 FAS786448 FKO786448 FUK786448 GEG786448 GOC786448 GXY786448 HHU786448 HRQ786448 IBM786448 ILI786448 IVE786448 JFA786448 JOW786448 JYS786448 KIO786448 KSK786448 LCG786448 LMC786448 LVY786448 MFU786448 MPQ786448 MZM786448 NJI786448 NTE786448 ODA786448 OMW786448 OWS786448 PGO786448 PQK786448 QAG786448 QKC786448 QTY786448 RDU786448 RNQ786448 RXM786448 SHI786448 SRE786448 TBA786448 TKW786448 TUS786448 UEO786448 UOK786448 UYG786448 VIC786448 VRY786448 WBU786448 WLQ786448 WVM786448 E851984 JA851984 SW851984 ACS851984 AMO851984 AWK851984 BGG851984 BQC851984 BZY851984 CJU851984 CTQ851984 DDM851984 DNI851984 DXE851984 EHA851984 EQW851984 FAS851984 FKO851984 FUK851984 GEG851984 GOC851984 GXY851984 HHU851984 HRQ851984 IBM851984 ILI851984 IVE851984 JFA851984 JOW851984 JYS851984 KIO851984 KSK851984 LCG851984 LMC851984 LVY851984 MFU851984 MPQ851984 MZM851984 NJI851984 NTE851984 ODA851984 OMW851984 OWS851984 PGO851984 PQK851984 QAG851984 QKC851984 QTY851984 RDU851984 RNQ851984 RXM851984 SHI851984 SRE851984 TBA851984 TKW851984 TUS851984 UEO851984 UOK851984 UYG851984 VIC851984 VRY851984 WBU851984 WLQ851984 WVM851984 E917520 JA917520 SW917520 ACS917520 AMO917520 AWK917520 BGG917520 BQC917520 BZY917520 CJU917520 CTQ917520 DDM917520 DNI917520 DXE917520 EHA917520 EQW917520 FAS917520 FKO917520 FUK917520 GEG917520 GOC917520 GXY917520 HHU917520 HRQ917520 IBM917520 ILI917520 IVE917520 JFA917520 JOW917520 JYS917520 KIO917520 KSK917520 LCG917520 LMC917520 LVY917520 MFU917520 MPQ917520 MZM917520 NJI917520 NTE917520 ODA917520 OMW917520 OWS917520 PGO917520 PQK917520 QAG917520 QKC917520 QTY917520 RDU917520 RNQ917520 RXM917520 SHI917520 SRE917520 TBA917520 TKW917520 TUS917520 UEO917520 UOK917520 UYG917520 VIC917520 VRY917520 WBU917520 WLQ917520 WVM917520 E983056 JA983056 SW983056 ACS983056 AMO983056 AWK983056 BGG983056 BQC983056 BZY983056 CJU983056 CTQ983056 DDM983056 DNI983056 DXE983056 EHA983056 EQW983056 FAS983056 FKO983056 FUK983056 GEG983056 GOC983056 GXY983056 HHU983056 HRQ983056 IBM983056 ILI983056 IVE983056 JFA983056 JOW983056 JYS983056 KIO983056 KSK983056 LCG983056 LMC983056 LVY983056 MFU983056 MPQ983056 MZM983056 NJI983056 NTE983056 ODA983056 OMW983056 OWS983056 PGO983056 PQK983056 QAG983056 QKC983056 QTY983056 RDU983056 RNQ983056 RXM983056 SHI983056 SRE983056 TBA983056 TKW983056 TUS983056 UEO983056 UOK983056 UYG983056 VIC983056 VRY983056 WBU983056 WLQ983056 WVM983056" xr:uid="{C7F27C94-1D16-42B0-AFC1-6A79045C910F}">
      <formula1>"250,415,500"</formula1>
    </dataValidation>
    <dataValidation type="list" allowBlank="1" showInputMessage="1" showErrorMessage="1" sqref="D33" xr:uid="{54928AAE-E9D4-4AFB-B747-7F859B8BF0A7}">
      <formula1>"-,4,6,8"</formula1>
    </dataValidation>
  </dataValidations>
  <printOptions horizontalCentered="1"/>
  <pageMargins left="0.2" right="0" top="1.25" bottom="1.25" header="0" footer="0"/>
  <pageSetup paperSize="9" orientation="portrait" horizontalDpi="4294967293" r:id="rId1"/>
  <headerFooter scaleWithDoc="0"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0BFB6-E4AD-43A1-91CD-B0F657838D59}">
  <sheetPr codeName="Sheet8"/>
  <dimension ref="A1:T68"/>
  <sheetViews>
    <sheetView view="pageBreakPreview" zoomScale="60" zoomScaleNormal="100" workbookViewId="0">
      <selection activeCell="H73" sqref="H73"/>
    </sheetView>
  </sheetViews>
  <sheetFormatPr defaultRowHeight="12.75" customHeight="1" x14ac:dyDescent="0.2"/>
  <cols>
    <col min="1" max="1" width="5.5703125" style="392" customWidth="1"/>
    <col min="2" max="2" width="7.5703125" style="392" customWidth="1"/>
    <col min="3" max="3" width="17" style="392" customWidth="1"/>
    <col min="4" max="4" width="13.140625" style="392" customWidth="1"/>
    <col min="5" max="5" width="13.85546875" style="392" customWidth="1"/>
    <col min="6" max="6" width="13" style="392" customWidth="1"/>
    <col min="7" max="7" width="12.85546875" style="392" customWidth="1"/>
    <col min="8" max="8" width="31.42578125" style="392" customWidth="1"/>
    <col min="9" max="9" width="9.140625" style="392"/>
    <col min="10" max="10" width="8.42578125" style="392" customWidth="1"/>
    <col min="11" max="11" width="11.5703125" style="392" customWidth="1"/>
    <col min="12" max="12" width="11" style="392" customWidth="1"/>
    <col min="13" max="13" width="12.85546875" style="392" customWidth="1"/>
    <col min="14" max="14" width="11.5703125" style="392" customWidth="1"/>
    <col min="15" max="15" width="11.28515625" style="392" customWidth="1"/>
    <col min="16" max="16" width="9.140625" style="392"/>
    <col min="17" max="17" width="12.42578125" style="392" customWidth="1"/>
    <col min="18" max="18" width="12.28515625" style="392" customWidth="1"/>
    <col min="19" max="19" width="10.7109375" style="392" customWidth="1"/>
    <col min="20" max="20" width="12.42578125" style="392" customWidth="1"/>
    <col min="21" max="256" width="9.140625" style="392"/>
    <col min="257" max="257" width="5.5703125" style="392" customWidth="1"/>
    <col min="258" max="258" width="7.5703125" style="392" customWidth="1"/>
    <col min="259" max="259" width="17" style="392" customWidth="1"/>
    <col min="260" max="260" width="13.140625" style="392" customWidth="1"/>
    <col min="261" max="261" width="13.85546875" style="392" customWidth="1"/>
    <col min="262" max="262" width="13" style="392" customWidth="1"/>
    <col min="263" max="263" width="12.85546875" style="392" customWidth="1"/>
    <col min="264" max="264" width="31.42578125" style="392" customWidth="1"/>
    <col min="265" max="265" width="9.140625" style="392"/>
    <col min="266" max="266" width="8.42578125" style="392" customWidth="1"/>
    <col min="267" max="267" width="11.5703125" style="392" customWidth="1"/>
    <col min="268" max="268" width="11" style="392" customWidth="1"/>
    <col min="269" max="269" width="12.85546875" style="392" customWidth="1"/>
    <col min="270" max="270" width="11.5703125" style="392" customWidth="1"/>
    <col min="271" max="271" width="11.28515625" style="392" customWidth="1"/>
    <col min="272" max="272" width="9.140625" style="392"/>
    <col min="273" max="273" width="12.42578125" style="392" customWidth="1"/>
    <col min="274" max="274" width="12.28515625" style="392" customWidth="1"/>
    <col min="275" max="275" width="10.7109375" style="392" customWidth="1"/>
    <col min="276" max="276" width="12.42578125" style="392" customWidth="1"/>
    <col min="277" max="512" width="9.140625" style="392"/>
    <col min="513" max="513" width="5.5703125" style="392" customWidth="1"/>
    <col min="514" max="514" width="7.5703125" style="392" customWidth="1"/>
    <col min="515" max="515" width="17" style="392" customWidth="1"/>
    <col min="516" max="516" width="13.140625" style="392" customWidth="1"/>
    <col min="517" max="517" width="13.85546875" style="392" customWidth="1"/>
    <col min="518" max="518" width="13" style="392" customWidth="1"/>
    <col min="519" max="519" width="12.85546875" style="392" customWidth="1"/>
    <col min="520" max="520" width="31.42578125" style="392" customWidth="1"/>
    <col min="521" max="521" width="9.140625" style="392"/>
    <col min="522" max="522" width="8.42578125" style="392" customWidth="1"/>
    <col min="523" max="523" width="11.5703125" style="392" customWidth="1"/>
    <col min="524" max="524" width="11" style="392" customWidth="1"/>
    <col min="525" max="525" width="12.85546875" style="392" customWidth="1"/>
    <col min="526" max="526" width="11.5703125" style="392" customWidth="1"/>
    <col min="527" max="527" width="11.28515625" style="392" customWidth="1"/>
    <col min="528" max="528" width="9.140625" style="392"/>
    <col min="529" max="529" width="12.42578125" style="392" customWidth="1"/>
    <col min="530" max="530" width="12.28515625" style="392" customWidth="1"/>
    <col min="531" max="531" width="10.7109375" style="392" customWidth="1"/>
    <col min="532" max="532" width="12.42578125" style="392" customWidth="1"/>
    <col min="533" max="768" width="9.140625" style="392"/>
    <col min="769" max="769" width="5.5703125" style="392" customWidth="1"/>
    <col min="770" max="770" width="7.5703125" style="392" customWidth="1"/>
    <col min="771" max="771" width="17" style="392" customWidth="1"/>
    <col min="772" max="772" width="13.140625" style="392" customWidth="1"/>
    <col min="773" max="773" width="13.85546875" style="392" customWidth="1"/>
    <col min="774" max="774" width="13" style="392" customWidth="1"/>
    <col min="775" max="775" width="12.85546875" style="392" customWidth="1"/>
    <col min="776" max="776" width="31.42578125" style="392" customWidth="1"/>
    <col min="777" max="777" width="9.140625" style="392"/>
    <col min="778" max="778" width="8.42578125" style="392" customWidth="1"/>
    <col min="779" max="779" width="11.5703125" style="392" customWidth="1"/>
    <col min="780" max="780" width="11" style="392" customWidth="1"/>
    <col min="781" max="781" width="12.85546875" style="392" customWidth="1"/>
    <col min="782" max="782" width="11.5703125" style="392" customWidth="1"/>
    <col min="783" max="783" width="11.28515625" style="392" customWidth="1"/>
    <col min="784" max="784" width="9.140625" style="392"/>
    <col min="785" max="785" width="12.42578125" style="392" customWidth="1"/>
    <col min="786" max="786" width="12.28515625" style="392" customWidth="1"/>
    <col min="787" max="787" width="10.7109375" style="392" customWidth="1"/>
    <col min="788" max="788" width="12.42578125" style="392" customWidth="1"/>
    <col min="789" max="1024" width="9.140625" style="392"/>
    <col min="1025" max="1025" width="5.5703125" style="392" customWidth="1"/>
    <col min="1026" max="1026" width="7.5703125" style="392" customWidth="1"/>
    <col min="1027" max="1027" width="17" style="392" customWidth="1"/>
    <col min="1028" max="1028" width="13.140625" style="392" customWidth="1"/>
    <col min="1029" max="1029" width="13.85546875" style="392" customWidth="1"/>
    <col min="1030" max="1030" width="13" style="392" customWidth="1"/>
    <col min="1031" max="1031" width="12.85546875" style="392" customWidth="1"/>
    <col min="1032" max="1032" width="31.42578125" style="392" customWidth="1"/>
    <col min="1033" max="1033" width="9.140625" style="392"/>
    <col min="1034" max="1034" width="8.42578125" style="392" customWidth="1"/>
    <col min="1035" max="1035" width="11.5703125" style="392" customWidth="1"/>
    <col min="1036" max="1036" width="11" style="392" customWidth="1"/>
    <col min="1037" max="1037" width="12.85546875" style="392" customWidth="1"/>
    <col min="1038" max="1038" width="11.5703125" style="392" customWidth="1"/>
    <col min="1039" max="1039" width="11.28515625" style="392" customWidth="1"/>
    <col min="1040" max="1040" width="9.140625" style="392"/>
    <col min="1041" max="1041" width="12.42578125" style="392" customWidth="1"/>
    <col min="1042" max="1042" width="12.28515625" style="392" customWidth="1"/>
    <col min="1043" max="1043" width="10.7109375" style="392" customWidth="1"/>
    <col min="1044" max="1044" width="12.42578125" style="392" customWidth="1"/>
    <col min="1045" max="1280" width="9.140625" style="392"/>
    <col min="1281" max="1281" width="5.5703125" style="392" customWidth="1"/>
    <col min="1282" max="1282" width="7.5703125" style="392" customWidth="1"/>
    <col min="1283" max="1283" width="17" style="392" customWidth="1"/>
    <col min="1284" max="1284" width="13.140625" style="392" customWidth="1"/>
    <col min="1285" max="1285" width="13.85546875" style="392" customWidth="1"/>
    <col min="1286" max="1286" width="13" style="392" customWidth="1"/>
    <col min="1287" max="1287" width="12.85546875" style="392" customWidth="1"/>
    <col min="1288" max="1288" width="31.42578125" style="392" customWidth="1"/>
    <col min="1289" max="1289" width="9.140625" style="392"/>
    <col min="1290" max="1290" width="8.42578125" style="392" customWidth="1"/>
    <col min="1291" max="1291" width="11.5703125" style="392" customWidth="1"/>
    <col min="1292" max="1292" width="11" style="392" customWidth="1"/>
    <col min="1293" max="1293" width="12.85546875" style="392" customWidth="1"/>
    <col min="1294" max="1294" width="11.5703125" style="392" customWidth="1"/>
    <col min="1295" max="1295" width="11.28515625" style="392" customWidth="1"/>
    <col min="1296" max="1296" width="9.140625" style="392"/>
    <col min="1297" max="1297" width="12.42578125" style="392" customWidth="1"/>
    <col min="1298" max="1298" width="12.28515625" style="392" customWidth="1"/>
    <col min="1299" max="1299" width="10.7109375" style="392" customWidth="1"/>
    <col min="1300" max="1300" width="12.42578125" style="392" customWidth="1"/>
    <col min="1301" max="1536" width="9.140625" style="392"/>
    <col min="1537" max="1537" width="5.5703125" style="392" customWidth="1"/>
    <col min="1538" max="1538" width="7.5703125" style="392" customWidth="1"/>
    <col min="1539" max="1539" width="17" style="392" customWidth="1"/>
    <col min="1540" max="1540" width="13.140625" style="392" customWidth="1"/>
    <col min="1541" max="1541" width="13.85546875" style="392" customWidth="1"/>
    <col min="1542" max="1542" width="13" style="392" customWidth="1"/>
    <col min="1543" max="1543" width="12.85546875" style="392" customWidth="1"/>
    <col min="1544" max="1544" width="31.42578125" style="392" customWidth="1"/>
    <col min="1545" max="1545" width="9.140625" style="392"/>
    <col min="1546" max="1546" width="8.42578125" style="392" customWidth="1"/>
    <col min="1547" max="1547" width="11.5703125" style="392" customWidth="1"/>
    <col min="1548" max="1548" width="11" style="392" customWidth="1"/>
    <col min="1549" max="1549" width="12.85546875" style="392" customWidth="1"/>
    <col min="1550" max="1550" width="11.5703125" style="392" customWidth="1"/>
    <col min="1551" max="1551" width="11.28515625" style="392" customWidth="1"/>
    <col min="1552" max="1552" width="9.140625" style="392"/>
    <col min="1553" max="1553" width="12.42578125" style="392" customWidth="1"/>
    <col min="1554" max="1554" width="12.28515625" style="392" customWidth="1"/>
    <col min="1555" max="1555" width="10.7109375" style="392" customWidth="1"/>
    <col min="1556" max="1556" width="12.42578125" style="392" customWidth="1"/>
    <col min="1557" max="1792" width="9.140625" style="392"/>
    <col min="1793" max="1793" width="5.5703125" style="392" customWidth="1"/>
    <col min="1794" max="1794" width="7.5703125" style="392" customWidth="1"/>
    <col min="1795" max="1795" width="17" style="392" customWidth="1"/>
    <col min="1796" max="1796" width="13.140625" style="392" customWidth="1"/>
    <col min="1797" max="1797" width="13.85546875" style="392" customWidth="1"/>
    <col min="1798" max="1798" width="13" style="392" customWidth="1"/>
    <col min="1799" max="1799" width="12.85546875" style="392" customWidth="1"/>
    <col min="1800" max="1800" width="31.42578125" style="392" customWidth="1"/>
    <col min="1801" max="1801" width="9.140625" style="392"/>
    <col min="1802" max="1802" width="8.42578125" style="392" customWidth="1"/>
    <col min="1803" max="1803" width="11.5703125" style="392" customWidth="1"/>
    <col min="1804" max="1804" width="11" style="392" customWidth="1"/>
    <col min="1805" max="1805" width="12.85546875" style="392" customWidth="1"/>
    <col min="1806" max="1806" width="11.5703125" style="392" customWidth="1"/>
    <col min="1807" max="1807" width="11.28515625" style="392" customWidth="1"/>
    <col min="1808" max="1808" width="9.140625" style="392"/>
    <col min="1809" max="1809" width="12.42578125" style="392" customWidth="1"/>
    <col min="1810" max="1810" width="12.28515625" style="392" customWidth="1"/>
    <col min="1811" max="1811" width="10.7109375" style="392" customWidth="1"/>
    <col min="1812" max="1812" width="12.42578125" style="392" customWidth="1"/>
    <col min="1813" max="2048" width="9.140625" style="392"/>
    <col min="2049" max="2049" width="5.5703125" style="392" customWidth="1"/>
    <col min="2050" max="2050" width="7.5703125" style="392" customWidth="1"/>
    <col min="2051" max="2051" width="17" style="392" customWidth="1"/>
    <col min="2052" max="2052" width="13.140625" style="392" customWidth="1"/>
    <col min="2053" max="2053" width="13.85546875" style="392" customWidth="1"/>
    <col min="2054" max="2054" width="13" style="392" customWidth="1"/>
    <col min="2055" max="2055" width="12.85546875" style="392" customWidth="1"/>
    <col min="2056" max="2056" width="31.42578125" style="392" customWidth="1"/>
    <col min="2057" max="2057" width="9.140625" style="392"/>
    <col min="2058" max="2058" width="8.42578125" style="392" customWidth="1"/>
    <col min="2059" max="2059" width="11.5703125" style="392" customWidth="1"/>
    <col min="2060" max="2060" width="11" style="392" customWidth="1"/>
    <col min="2061" max="2061" width="12.85546875" style="392" customWidth="1"/>
    <col min="2062" max="2062" width="11.5703125" style="392" customWidth="1"/>
    <col min="2063" max="2063" width="11.28515625" style="392" customWidth="1"/>
    <col min="2064" max="2064" width="9.140625" style="392"/>
    <col min="2065" max="2065" width="12.42578125" style="392" customWidth="1"/>
    <col min="2066" max="2066" width="12.28515625" style="392" customWidth="1"/>
    <col min="2067" max="2067" width="10.7109375" style="392" customWidth="1"/>
    <col min="2068" max="2068" width="12.42578125" style="392" customWidth="1"/>
    <col min="2069" max="2304" width="9.140625" style="392"/>
    <col min="2305" max="2305" width="5.5703125" style="392" customWidth="1"/>
    <col min="2306" max="2306" width="7.5703125" style="392" customWidth="1"/>
    <col min="2307" max="2307" width="17" style="392" customWidth="1"/>
    <col min="2308" max="2308" width="13.140625" style="392" customWidth="1"/>
    <col min="2309" max="2309" width="13.85546875" style="392" customWidth="1"/>
    <col min="2310" max="2310" width="13" style="392" customWidth="1"/>
    <col min="2311" max="2311" width="12.85546875" style="392" customWidth="1"/>
    <col min="2312" max="2312" width="31.42578125" style="392" customWidth="1"/>
    <col min="2313" max="2313" width="9.140625" style="392"/>
    <col min="2314" max="2314" width="8.42578125" style="392" customWidth="1"/>
    <col min="2315" max="2315" width="11.5703125" style="392" customWidth="1"/>
    <col min="2316" max="2316" width="11" style="392" customWidth="1"/>
    <col min="2317" max="2317" width="12.85546875" style="392" customWidth="1"/>
    <col min="2318" max="2318" width="11.5703125" style="392" customWidth="1"/>
    <col min="2319" max="2319" width="11.28515625" style="392" customWidth="1"/>
    <col min="2320" max="2320" width="9.140625" style="392"/>
    <col min="2321" max="2321" width="12.42578125" style="392" customWidth="1"/>
    <col min="2322" max="2322" width="12.28515625" style="392" customWidth="1"/>
    <col min="2323" max="2323" width="10.7109375" style="392" customWidth="1"/>
    <col min="2324" max="2324" width="12.42578125" style="392" customWidth="1"/>
    <col min="2325" max="2560" width="9.140625" style="392"/>
    <col min="2561" max="2561" width="5.5703125" style="392" customWidth="1"/>
    <col min="2562" max="2562" width="7.5703125" style="392" customWidth="1"/>
    <col min="2563" max="2563" width="17" style="392" customWidth="1"/>
    <col min="2564" max="2564" width="13.140625" style="392" customWidth="1"/>
    <col min="2565" max="2565" width="13.85546875" style="392" customWidth="1"/>
    <col min="2566" max="2566" width="13" style="392" customWidth="1"/>
    <col min="2567" max="2567" width="12.85546875" style="392" customWidth="1"/>
    <col min="2568" max="2568" width="31.42578125" style="392" customWidth="1"/>
    <col min="2569" max="2569" width="9.140625" style="392"/>
    <col min="2570" max="2570" width="8.42578125" style="392" customWidth="1"/>
    <col min="2571" max="2571" width="11.5703125" style="392" customWidth="1"/>
    <col min="2572" max="2572" width="11" style="392" customWidth="1"/>
    <col min="2573" max="2573" width="12.85546875" style="392" customWidth="1"/>
    <col min="2574" max="2574" width="11.5703125" style="392" customWidth="1"/>
    <col min="2575" max="2575" width="11.28515625" style="392" customWidth="1"/>
    <col min="2576" max="2576" width="9.140625" style="392"/>
    <col min="2577" max="2577" width="12.42578125" style="392" customWidth="1"/>
    <col min="2578" max="2578" width="12.28515625" style="392" customWidth="1"/>
    <col min="2579" max="2579" width="10.7109375" style="392" customWidth="1"/>
    <col min="2580" max="2580" width="12.42578125" style="392" customWidth="1"/>
    <col min="2581" max="2816" width="9.140625" style="392"/>
    <col min="2817" max="2817" width="5.5703125" style="392" customWidth="1"/>
    <col min="2818" max="2818" width="7.5703125" style="392" customWidth="1"/>
    <col min="2819" max="2819" width="17" style="392" customWidth="1"/>
    <col min="2820" max="2820" width="13.140625" style="392" customWidth="1"/>
    <col min="2821" max="2821" width="13.85546875" style="392" customWidth="1"/>
    <col min="2822" max="2822" width="13" style="392" customWidth="1"/>
    <col min="2823" max="2823" width="12.85546875" style="392" customWidth="1"/>
    <col min="2824" max="2824" width="31.42578125" style="392" customWidth="1"/>
    <col min="2825" max="2825" width="9.140625" style="392"/>
    <col min="2826" max="2826" width="8.42578125" style="392" customWidth="1"/>
    <col min="2827" max="2827" width="11.5703125" style="392" customWidth="1"/>
    <col min="2828" max="2828" width="11" style="392" customWidth="1"/>
    <col min="2829" max="2829" width="12.85546875" style="392" customWidth="1"/>
    <col min="2830" max="2830" width="11.5703125" style="392" customWidth="1"/>
    <col min="2831" max="2831" width="11.28515625" style="392" customWidth="1"/>
    <col min="2832" max="2832" width="9.140625" style="392"/>
    <col min="2833" max="2833" width="12.42578125" style="392" customWidth="1"/>
    <col min="2834" max="2834" width="12.28515625" style="392" customWidth="1"/>
    <col min="2835" max="2835" width="10.7109375" style="392" customWidth="1"/>
    <col min="2836" max="2836" width="12.42578125" style="392" customWidth="1"/>
    <col min="2837" max="3072" width="9.140625" style="392"/>
    <col min="3073" max="3073" width="5.5703125" style="392" customWidth="1"/>
    <col min="3074" max="3074" width="7.5703125" style="392" customWidth="1"/>
    <col min="3075" max="3075" width="17" style="392" customWidth="1"/>
    <col min="3076" max="3076" width="13.140625" style="392" customWidth="1"/>
    <col min="3077" max="3077" width="13.85546875" style="392" customWidth="1"/>
    <col min="3078" max="3078" width="13" style="392" customWidth="1"/>
    <col min="3079" max="3079" width="12.85546875" style="392" customWidth="1"/>
    <col min="3080" max="3080" width="31.42578125" style="392" customWidth="1"/>
    <col min="3081" max="3081" width="9.140625" style="392"/>
    <col min="3082" max="3082" width="8.42578125" style="392" customWidth="1"/>
    <col min="3083" max="3083" width="11.5703125" style="392" customWidth="1"/>
    <col min="3084" max="3084" width="11" style="392" customWidth="1"/>
    <col min="3085" max="3085" width="12.85546875" style="392" customWidth="1"/>
    <col min="3086" max="3086" width="11.5703125" style="392" customWidth="1"/>
    <col min="3087" max="3087" width="11.28515625" style="392" customWidth="1"/>
    <col min="3088" max="3088" width="9.140625" style="392"/>
    <col min="3089" max="3089" width="12.42578125" style="392" customWidth="1"/>
    <col min="3090" max="3090" width="12.28515625" style="392" customWidth="1"/>
    <col min="3091" max="3091" width="10.7109375" style="392" customWidth="1"/>
    <col min="3092" max="3092" width="12.42578125" style="392" customWidth="1"/>
    <col min="3093" max="3328" width="9.140625" style="392"/>
    <col min="3329" max="3329" width="5.5703125" style="392" customWidth="1"/>
    <col min="3330" max="3330" width="7.5703125" style="392" customWidth="1"/>
    <col min="3331" max="3331" width="17" style="392" customWidth="1"/>
    <col min="3332" max="3332" width="13.140625" style="392" customWidth="1"/>
    <col min="3333" max="3333" width="13.85546875" style="392" customWidth="1"/>
    <col min="3334" max="3334" width="13" style="392" customWidth="1"/>
    <col min="3335" max="3335" width="12.85546875" style="392" customWidth="1"/>
    <col min="3336" max="3336" width="31.42578125" style="392" customWidth="1"/>
    <col min="3337" max="3337" width="9.140625" style="392"/>
    <col min="3338" max="3338" width="8.42578125" style="392" customWidth="1"/>
    <col min="3339" max="3339" width="11.5703125" style="392" customWidth="1"/>
    <col min="3340" max="3340" width="11" style="392" customWidth="1"/>
    <col min="3341" max="3341" width="12.85546875" style="392" customWidth="1"/>
    <col min="3342" max="3342" width="11.5703125" style="392" customWidth="1"/>
    <col min="3343" max="3343" width="11.28515625" style="392" customWidth="1"/>
    <col min="3344" max="3344" width="9.140625" style="392"/>
    <col min="3345" max="3345" width="12.42578125" style="392" customWidth="1"/>
    <col min="3346" max="3346" width="12.28515625" style="392" customWidth="1"/>
    <col min="3347" max="3347" width="10.7109375" style="392" customWidth="1"/>
    <col min="3348" max="3348" width="12.42578125" style="392" customWidth="1"/>
    <col min="3349" max="3584" width="9.140625" style="392"/>
    <col min="3585" max="3585" width="5.5703125" style="392" customWidth="1"/>
    <col min="3586" max="3586" width="7.5703125" style="392" customWidth="1"/>
    <col min="3587" max="3587" width="17" style="392" customWidth="1"/>
    <col min="3588" max="3588" width="13.140625" style="392" customWidth="1"/>
    <col min="3589" max="3589" width="13.85546875" style="392" customWidth="1"/>
    <col min="3590" max="3590" width="13" style="392" customWidth="1"/>
    <col min="3591" max="3591" width="12.85546875" style="392" customWidth="1"/>
    <col min="3592" max="3592" width="31.42578125" style="392" customWidth="1"/>
    <col min="3593" max="3593" width="9.140625" style="392"/>
    <col min="3594" max="3594" width="8.42578125" style="392" customWidth="1"/>
    <col min="3595" max="3595" width="11.5703125" style="392" customWidth="1"/>
    <col min="3596" max="3596" width="11" style="392" customWidth="1"/>
    <col min="3597" max="3597" width="12.85546875" style="392" customWidth="1"/>
    <col min="3598" max="3598" width="11.5703125" style="392" customWidth="1"/>
    <col min="3599" max="3599" width="11.28515625" style="392" customWidth="1"/>
    <col min="3600" max="3600" width="9.140625" style="392"/>
    <col min="3601" max="3601" width="12.42578125" style="392" customWidth="1"/>
    <col min="3602" max="3602" width="12.28515625" style="392" customWidth="1"/>
    <col min="3603" max="3603" width="10.7109375" style="392" customWidth="1"/>
    <col min="3604" max="3604" width="12.42578125" style="392" customWidth="1"/>
    <col min="3605" max="3840" width="9.140625" style="392"/>
    <col min="3841" max="3841" width="5.5703125" style="392" customWidth="1"/>
    <col min="3842" max="3842" width="7.5703125" style="392" customWidth="1"/>
    <col min="3843" max="3843" width="17" style="392" customWidth="1"/>
    <col min="3844" max="3844" width="13.140625" style="392" customWidth="1"/>
    <col min="3845" max="3845" width="13.85546875" style="392" customWidth="1"/>
    <col min="3846" max="3846" width="13" style="392" customWidth="1"/>
    <col min="3847" max="3847" width="12.85546875" style="392" customWidth="1"/>
    <col min="3848" max="3848" width="31.42578125" style="392" customWidth="1"/>
    <col min="3849" max="3849" width="9.140625" style="392"/>
    <col min="3850" max="3850" width="8.42578125" style="392" customWidth="1"/>
    <col min="3851" max="3851" width="11.5703125" style="392" customWidth="1"/>
    <col min="3852" max="3852" width="11" style="392" customWidth="1"/>
    <col min="3853" max="3853" width="12.85546875" style="392" customWidth="1"/>
    <col min="3854" max="3854" width="11.5703125" style="392" customWidth="1"/>
    <col min="3855" max="3855" width="11.28515625" style="392" customWidth="1"/>
    <col min="3856" max="3856" width="9.140625" style="392"/>
    <col min="3857" max="3857" width="12.42578125" style="392" customWidth="1"/>
    <col min="3858" max="3858" width="12.28515625" style="392" customWidth="1"/>
    <col min="3859" max="3859" width="10.7109375" style="392" customWidth="1"/>
    <col min="3860" max="3860" width="12.42578125" style="392" customWidth="1"/>
    <col min="3861" max="4096" width="9.140625" style="392"/>
    <col min="4097" max="4097" width="5.5703125" style="392" customWidth="1"/>
    <col min="4098" max="4098" width="7.5703125" style="392" customWidth="1"/>
    <col min="4099" max="4099" width="17" style="392" customWidth="1"/>
    <col min="4100" max="4100" width="13.140625" style="392" customWidth="1"/>
    <col min="4101" max="4101" width="13.85546875" style="392" customWidth="1"/>
    <col min="4102" max="4102" width="13" style="392" customWidth="1"/>
    <col min="4103" max="4103" width="12.85546875" style="392" customWidth="1"/>
    <col min="4104" max="4104" width="31.42578125" style="392" customWidth="1"/>
    <col min="4105" max="4105" width="9.140625" style="392"/>
    <col min="4106" max="4106" width="8.42578125" style="392" customWidth="1"/>
    <col min="4107" max="4107" width="11.5703125" style="392" customWidth="1"/>
    <col min="4108" max="4108" width="11" style="392" customWidth="1"/>
    <col min="4109" max="4109" width="12.85546875" style="392" customWidth="1"/>
    <col min="4110" max="4110" width="11.5703125" style="392" customWidth="1"/>
    <col min="4111" max="4111" width="11.28515625" style="392" customWidth="1"/>
    <col min="4112" max="4112" width="9.140625" style="392"/>
    <col min="4113" max="4113" width="12.42578125" style="392" customWidth="1"/>
    <col min="4114" max="4114" width="12.28515625" style="392" customWidth="1"/>
    <col min="4115" max="4115" width="10.7109375" style="392" customWidth="1"/>
    <col min="4116" max="4116" width="12.42578125" style="392" customWidth="1"/>
    <col min="4117" max="4352" width="9.140625" style="392"/>
    <col min="4353" max="4353" width="5.5703125" style="392" customWidth="1"/>
    <col min="4354" max="4354" width="7.5703125" style="392" customWidth="1"/>
    <col min="4355" max="4355" width="17" style="392" customWidth="1"/>
    <col min="4356" max="4356" width="13.140625" style="392" customWidth="1"/>
    <col min="4357" max="4357" width="13.85546875" style="392" customWidth="1"/>
    <col min="4358" max="4358" width="13" style="392" customWidth="1"/>
    <col min="4359" max="4359" width="12.85546875" style="392" customWidth="1"/>
    <col min="4360" max="4360" width="31.42578125" style="392" customWidth="1"/>
    <col min="4361" max="4361" width="9.140625" style="392"/>
    <col min="4362" max="4362" width="8.42578125" style="392" customWidth="1"/>
    <col min="4363" max="4363" width="11.5703125" style="392" customWidth="1"/>
    <col min="4364" max="4364" width="11" style="392" customWidth="1"/>
    <col min="4365" max="4365" width="12.85546875" style="392" customWidth="1"/>
    <col min="4366" max="4366" width="11.5703125" style="392" customWidth="1"/>
    <col min="4367" max="4367" width="11.28515625" style="392" customWidth="1"/>
    <col min="4368" max="4368" width="9.140625" style="392"/>
    <col min="4369" max="4369" width="12.42578125" style="392" customWidth="1"/>
    <col min="4370" max="4370" width="12.28515625" style="392" customWidth="1"/>
    <col min="4371" max="4371" width="10.7109375" style="392" customWidth="1"/>
    <col min="4372" max="4372" width="12.42578125" style="392" customWidth="1"/>
    <col min="4373" max="4608" width="9.140625" style="392"/>
    <col min="4609" max="4609" width="5.5703125" style="392" customWidth="1"/>
    <col min="4610" max="4610" width="7.5703125" style="392" customWidth="1"/>
    <col min="4611" max="4611" width="17" style="392" customWidth="1"/>
    <col min="4612" max="4612" width="13.140625" style="392" customWidth="1"/>
    <col min="4613" max="4613" width="13.85546875" style="392" customWidth="1"/>
    <col min="4614" max="4614" width="13" style="392" customWidth="1"/>
    <col min="4615" max="4615" width="12.85546875" style="392" customWidth="1"/>
    <col min="4616" max="4616" width="31.42578125" style="392" customWidth="1"/>
    <col min="4617" max="4617" width="9.140625" style="392"/>
    <col min="4618" max="4618" width="8.42578125" style="392" customWidth="1"/>
    <col min="4619" max="4619" width="11.5703125" style="392" customWidth="1"/>
    <col min="4620" max="4620" width="11" style="392" customWidth="1"/>
    <col min="4621" max="4621" width="12.85546875" style="392" customWidth="1"/>
    <col min="4622" max="4622" width="11.5703125" style="392" customWidth="1"/>
    <col min="4623" max="4623" width="11.28515625" style="392" customWidth="1"/>
    <col min="4624" max="4624" width="9.140625" style="392"/>
    <col min="4625" max="4625" width="12.42578125" style="392" customWidth="1"/>
    <col min="4626" max="4626" width="12.28515625" style="392" customWidth="1"/>
    <col min="4627" max="4627" width="10.7109375" style="392" customWidth="1"/>
    <col min="4628" max="4628" width="12.42578125" style="392" customWidth="1"/>
    <col min="4629" max="4864" width="9.140625" style="392"/>
    <col min="4865" max="4865" width="5.5703125" style="392" customWidth="1"/>
    <col min="4866" max="4866" width="7.5703125" style="392" customWidth="1"/>
    <col min="4867" max="4867" width="17" style="392" customWidth="1"/>
    <col min="4868" max="4868" width="13.140625" style="392" customWidth="1"/>
    <col min="4869" max="4869" width="13.85546875" style="392" customWidth="1"/>
    <col min="4870" max="4870" width="13" style="392" customWidth="1"/>
    <col min="4871" max="4871" width="12.85546875" style="392" customWidth="1"/>
    <col min="4872" max="4872" width="31.42578125" style="392" customWidth="1"/>
    <col min="4873" max="4873" width="9.140625" style="392"/>
    <col min="4874" max="4874" width="8.42578125" style="392" customWidth="1"/>
    <col min="4875" max="4875" width="11.5703125" style="392" customWidth="1"/>
    <col min="4876" max="4876" width="11" style="392" customWidth="1"/>
    <col min="4877" max="4877" width="12.85546875" style="392" customWidth="1"/>
    <col min="4878" max="4878" width="11.5703125" style="392" customWidth="1"/>
    <col min="4879" max="4879" width="11.28515625" style="392" customWidth="1"/>
    <col min="4880" max="4880" width="9.140625" style="392"/>
    <col min="4881" max="4881" width="12.42578125" style="392" customWidth="1"/>
    <col min="4882" max="4882" width="12.28515625" style="392" customWidth="1"/>
    <col min="4883" max="4883" width="10.7109375" style="392" customWidth="1"/>
    <col min="4884" max="4884" width="12.42578125" style="392" customWidth="1"/>
    <col min="4885" max="5120" width="9.140625" style="392"/>
    <col min="5121" max="5121" width="5.5703125" style="392" customWidth="1"/>
    <col min="5122" max="5122" width="7.5703125" style="392" customWidth="1"/>
    <col min="5123" max="5123" width="17" style="392" customWidth="1"/>
    <col min="5124" max="5124" width="13.140625" style="392" customWidth="1"/>
    <col min="5125" max="5125" width="13.85546875" style="392" customWidth="1"/>
    <col min="5126" max="5126" width="13" style="392" customWidth="1"/>
    <col min="5127" max="5127" width="12.85546875" style="392" customWidth="1"/>
    <col min="5128" max="5128" width="31.42578125" style="392" customWidth="1"/>
    <col min="5129" max="5129" width="9.140625" style="392"/>
    <col min="5130" max="5130" width="8.42578125" style="392" customWidth="1"/>
    <col min="5131" max="5131" width="11.5703125" style="392" customWidth="1"/>
    <col min="5132" max="5132" width="11" style="392" customWidth="1"/>
    <col min="5133" max="5133" width="12.85546875" style="392" customWidth="1"/>
    <col min="5134" max="5134" width="11.5703125" style="392" customWidth="1"/>
    <col min="5135" max="5135" width="11.28515625" style="392" customWidth="1"/>
    <col min="5136" max="5136" width="9.140625" style="392"/>
    <col min="5137" max="5137" width="12.42578125" style="392" customWidth="1"/>
    <col min="5138" max="5138" width="12.28515625" style="392" customWidth="1"/>
    <col min="5139" max="5139" width="10.7109375" style="392" customWidth="1"/>
    <col min="5140" max="5140" width="12.42578125" style="392" customWidth="1"/>
    <col min="5141" max="5376" width="9.140625" style="392"/>
    <col min="5377" max="5377" width="5.5703125" style="392" customWidth="1"/>
    <col min="5378" max="5378" width="7.5703125" style="392" customWidth="1"/>
    <col min="5379" max="5379" width="17" style="392" customWidth="1"/>
    <col min="5380" max="5380" width="13.140625" style="392" customWidth="1"/>
    <col min="5381" max="5381" width="13.85546875" style="392" customWidth="1"/>
    <col min="5382" max="5382" width="13" style="392" customWidth="1"/>
    <col min="5383" max="5383" width="12.85546875" style="392" customWidth="1"/>
    <col min="5384" max="5384" width="31.42578125" style="392" customWidth="1"/>
    <col min="5385" max="5385" width="9.140625" style="392"/>
    <col min="5386" max="5386" width="8.42578125" style="392" customWidth="1"/>
    <col min="5387" max="5387" width="11.5703125" style="392" customWidth="1"/>
    <col min="5388" max="5388" width="11" style="392" customWidth="1"/>
    <col min="5389" max="5389" width="12.85546875" style="392" customWidth="1"/>
    <col min="5390" max="5390" width="11.5703125" style="392" customWidth="1"/>
    <col min="5391" max="5391" width="11.28515625" style="392" customWidth="1"/>
    <col min="5392" max="5392" width="9.140625" style="392"/>
    <col min="5393" max="5393" width="12.42578125" style="392" customWidth="1"/>
    <col min="5394" max="5394" width="12.28515625" style="392" customWidth="1"/>
    <col min="5395" max="5395" width="10.7109375" style="392" customWidth="1"/>
    <col min="5396" max="5396" width="12.42578125" style="392" customWidth="1"/>
    <col min="5397" max="5632" width="9.140625" style="392"/>
    <col min="5633" max="5633" width="5.5703125" style="392" customWidth="1"/>
    <col min="5634" max="5634" width="7.5703125" style="392" customWidth="1"/>
    <col min="5635" max="5635" width="17" style="392" customWidth="1"/>
    <col min="5636" max="5636" width="13.140625" style="392" customWidth="1"/>
    <col min="5637" max="5637" width="13.85546875" style="392" customWidth="1"/>
    <col min="5638" max="5638" width="13" style="392" customWidth="1"/>
    <col min="5639" max="5639" width="12.85546875" style="392" customWidth="1"/>
    <col min="5640" max="5640" width="31.42578125" style="392" customWidth="1"/>
    <col min="5641" max="5641" width="9.140625" style="392"/>
    <col min="5642" max="5642" width="8.42578125" style="392" customWidth="1"/>
    <col min="5643" max="5643" width="11.5703125" style="392" customWidth="1"/>
    <col min="5644" max="5644" width="11" style="392" customWidth="1"/>
    <col min="5645" max="5645" width="12.85546875" style="392" customWidth="1"/>
    <col min="5646" max="5646" width="11.5703125" style="392" customWidth="1"/>
    <col min="5647" max="5647" width="11.28515625" style="392" customWidth="1"/>
    <col min="5648" max="5648" width="9.140625" style="392"/>
    <col min="5649" max="5649" width="12.42578125" style="392" customWidth="1"/>
    <col min="5650" max="5650" width="12.28515625" style="392" customWidth="1"/>
    <col min="5651" max="5651" width="10.7109375" style="392" customWidth="1"/>
    <col min="5652" max="5652" width="12.42578125" style="392" customWidth="1"/>
    <col min="5653" max="5888" width="9.140625" style="392"/>
    <col min="5889" max="5889" width="5.5703125" style="392" customWidth="1"/>
    <col min="5890" max="5890" width="7.5703125" style="392" customWidth="1"/>
    <col min="5891" max="5891" width="17" style="392" customWidth="1"/>
    <col min="5892" max="5892" width="13.140625" style="392" customWidth="1"/>
    <col min="5893" max="5893" width="13.85546875" style="392" customWidth="1"/>
    <col min="5894" max="5894" width="13" style="392" customWidth="1"/>
    <col min="5895" max="5895" width="12.85546875" style="392" customWidth="1"/>
    <col min="5896" max="5896" width="31.42578125" style="392" customWidth="1"/>
    <col min="5897" max="5897" width="9.140625" style="392"/>
    <col min="5898" max="5898" width="8.42578125" style="392" customWidth="1"/>
    <col min="5899" max="5899" width="11.5703125" style="392" customWidth="1"/>
    <col min="5900" max="5900" width="11" style="392" customWidth="1"/>
    <col min="5901" max="5901" width="12.85546875" style="392" customWidth="1"/>
    <col min="5902" max="5902" width="11.5703125" style="392" customWidth="1"/>
    <col min="5903" max="5903" width="11.28515625" style="392" customWidth="1"/>
    <col min="5904" max="5904" width="9.140625" style="392"/>
    <col min="5905" max="5905" width="12.42578125" style="392" customWidth="1"/>
    <col min="5906" max="5906" width="12.28515625" style="392" customWidth="1"/>
    <col min="5907" max="5907" width="10.7109375" style="392" customWidth="1"/>
    <col min="5908" max="5908" width="12.42578125" style="392" customWidth="1"/>
    <col min="5909" max="6144" width="9.140625" style="392"/>
    <col min="6145" max="6145" width="5.5703125" style="392" customWidth="1"/>
    <col min="6146" max="6146" width="7.5703125" style="392" customWidth="1"/>
    <col min="6147" max="6147" width="17" style="392" customWidth="1"/>
    <col min="6148" max="6148" width="13.140625" style="392" customWidth="1"/>
    <col min="6149" max="6149" width="13.85546875" style="392" customWidth="1"/>
    <col min="6150" max="6150" width="13" style="392" customWidth="1"/>
    <col min="6151" max="6151" width="12.85546875" style="392" customWidth="1"/>
    <col min="6152" max="6152" width="31.42578125" style="392" customWidth="1"/>
    <col min="6153" max="6153" width="9.140625" style="392"/>
    <col min="6154" max="6154" width="8.42578125" style="392" customWidth="1"/>
    <col min="6155" max="6155" width="11.5703125" style="392" customWidth="1"/>
    <col min="6156" max="6156" width="11" style="392" customWidth="1"/>
    <col min="6157" max="6157" width="12.85546875" style="392" customWidth="1"/>
    <col min="6158" max="6158" width="11.5703125" style="392" customWidth="1"/>
    <col min="6159" max="6159" width="11.28515625" style="392" customWidth="1"/>
    <col min="6160" max="6160" width="9.140625" style="392"/>
    <col min="6161" max="6161" width="12.42578125" style="392" customWidth="1"/>
    <col min="6162" max="6162" width="12.28515625" style="392" customWidth="1"/>
    <col min="6163" max="6163" width="10.7109375" style="392" customWidth="1"/>
    <col min="6164" max="6164" width="12.42578125" style="392" customWidth="1"/>
    <col min="6165" max="6400" width="9.140625" style="392"/>
    <col min="6401" max="6401" width="5.5703125" style="392" customWidth="1"/>
    <col min="6402" max="6402" width="7.5703125" style="392" customWidth="1"/>
    <col min="6403" max="6403" width="17" style="392" customWidth="1"/>
    <col min="6404" max="6404" width="13.140625" style="392" customWidth="1"/>
    <col min="6405" max="6405" width="13.85546875" style="392" customWidth="1"/>
    <col min="6406" max="6406" width="13" style="392" customWidth="1"/>
    <col min="6407" max="6407" width="12.85546875" style="392" customWidth="1"/>
    <col min="6408" max="6408" width="31.42578125" style="392" customWidth="1"/>
    <col min="6409" max="6409" width="9.140625" style="392"/>
    <col min="6410" max="6410" width="8.42578125" style="392" customWidth="1"/>
    <col min="6411" max="6411" width="11.5703125" style="392" customWidth="1"/>
    <col min="6412" max="6412" width="11" style="392" customWidth="1"/>
    <col min="6413" max="6413" width="12.85546875" style="392" customWidth="1"/>
    <col min="6414" max="6414" width="11.5703125" style="392" customWidth="1"/>
    <col min="6415" max="6415" width="11.28515625" style="392" customWidth="1"/>
    <col min="6416" max="6416" width="9.140625" style="392"/>
    <col min="6417" max="6417" width="12.42578125" style="392" customWidth="1"/>
    <col min="6418" max="6418" width="12.28515625" style="392" customWidth="1"/>
    <col min="6419" max="6419" width="10.7109375" style="392" customWidth="1"/>
    <col min="6420" max="6420" width="12.42578125" style="392" customWidth="1"/>
    <col min="6421" max="6656" width="9.140625" style="392"/>
    <col min="6657" max="6657" width="5.5703125" style="392" customWidth="1"/>
    <col min="6658" max="6658" width="7.5703125" style="392" customWidth="1"/>
    <col min="6659" max="6659" width="17" style="392" customWidth="1"/>
    <col min="6660" max="6660" width="13.140625" style="392" customWidth="1"/>
    <col min="6661" max="6661" width="13.85546875" style="392" customWidth="1"/>
    <col min="6662" max="6662" width="13" style="392" customWidth="1"/>
    <col min="6663" max="6663" width="12.85546875" style="392" customWidth="1"/>
    <col min="6664" max="6664" width="31.42578125" style="392" customWidth="1"/>
    <col min="6665" max="6665" width="9.140625" style="392"/>
    <col min="6666" max="6666" width="8.42578125" style="392" customWidth="1"/>
    <col min="6667" max="6667" width="11.5703125" style="392" customWidth="1"/>
    <col min="6668" max="6668" width="11" style="392" customWidth="1"/>
    <col min="6669" max="6669" width="12.85546875" style="392" customWidth="1"/>
    <col min="6670" max="6670" width="11.5703125" style="392" customWidth="1"/>
    <col min="6671" max="6671" width="11.28515625" style="392" customWidth="1"/>
    <col min="6672" max="6672" width="9.140625" style="392"/>
    <col min="6673" max="6673" width="12.42578125" style="392" customWidth="1"/>
    <col min="6674" max="6674" width="12.28515625" style="392" customWidth="1"/>
    <col min="6675" max="6675" width="10.7109375" style="392" customWidth="1"/>
    <col min="6676" max="6676" width="12.42578125" style="392" customWidth="1"/>
    <col min="6677" max="6912" width="9.140625" style="392"/>
    <col min="6913" max="6913" width="5.5703125" style="392" customWidth="1"/>
    <col min="6914" max="6914" width="7.5703125" style="392" customWidth="1"/>
    <col min="6915" max="6915" width="17" style="392" customWidth="1"/>
    <col min="6916" max="6916" width="13.140625" style="392" customWidth="1"/>
    <col min="6917" max="6917" width="13.85546875" style="392" customWidth="1"/>
    <col min="6918" max="6918" width="13" style="392" customWidth="1"/>
    <col min="6919" max="6919" width="12.85546875" style="392" customWidth="1"/>
    <col min="6920" max="6920" width="31.42578125" style="392" customWidth="1"/>
    <col min="6921" max="6921" width="9.140625" style="392"/>
    <col min="6922" max="6922" width="8.42578125" style="392" customWidth="1"/>
    <col min="6923" max="6923" width="11.5703125" style="392" customWidth="1"/>
    <col min="6924" max="6924" width="11" style="392" customWidth="1"/>
    <col min="6925" max="6925" width="12.85546875" style="392" customWidth="1"/>
    <col min="6926" max="6926" width="11.5703125" style="392" customWidth="1"/>
    <col min="6927" max="6927" width="11.28515625" style="392" customWidth="1"/>
    <col min="6928" max="6928" width="9.140625" style="392"/>
    <col min="6929" max="6929" width="12.42578125" style="392" customWidth="1"/>
    <col min="6930" max="6930" width="12.28515625" style="392" customWidth="1"/>
    <col min="6931" max="6931" width="10.7109375" style="392" customWidth="1"/>
    <col min="6932" max="6932" width="12.42578125" style="392" customWidth="1"/>
    <col min="6933" max="7168" width="9.140625" style="392"/>
    <col min="7169" max="7169" width="5.5703125" style="392" customWidth="1"/>
    <col min="7170" max="7170" width="7.5703125" style="392" customWidth="1"/>
    <col min="7171" max="7171" width="17" style="392" customWidth="1"/>
    <col min="7172" max="7172" width="13.140625" style="392" customWidth="1"/>
    <col min="7173" max="7173" width="13.85546875" style="392" customWidth="1"/>
    <col min="7174" max="7174" width="13" style="392" customWidth="1"/>
    <col min="7175" max="7175" width="12.85546875" style="392" customWidth="1"/>
    <col min="7176" max="7176" width="31.42578125" style="392" customWidth="1"/>
    <col min="7177" max="7177" width="9.140625" style="392"/>
    <col min="7178" max="7178" width="8.42578125" style="392" customWidth="1"/>
    <col min="7179" max="7179" width="11.5703125" style="392" customWidth="1"/>
    <col min="7180" max="7180" width="11" style="392" customWidth="1"/>
    <col min="7181" max="7181" width="12.85546875" style="392" customWidth="1"/>
    <col min="7182" max="7182" width="11.5703125" style="392" customWidth="1"/>
    <col min="7183" max="7183" width="11.28515625" style="392" customWidth="1"/>
    <col min="7184" max="7184" width="9.140625" style="392"/>
    <col min="7185" max="7185" width="12.42578125" style="392" customWidth="1"/>
    <col min="7186" max="7186" width="12.28515625" style="392" customWidth="1"/>
    <col min="7187" max="7187" width="10.7109375" style="392" customWidth="1"/>
    <col min="7188" max="7188" width="12.42578125" style="392" customWidth="1"/>
    <col min="7189" max="7424" width="9.140625" style="392"/>
    <col min="7425" max="7425" width="5.5703125" style="392" customWidth="1"/>
    <col min="7426" max="7426" width="7.5703125" style="392" customWidth="1"/>
    <col min="7427" max="7427" width="17" style="392" customWidth="1"/>
    <col min="7428" max="7428" width="13.140625" style="392" customWidth="1"/>
    <col min="7429" max="7429" width="13.85546875" style="392" customWidth="1"/>
    <col min="7430" max="7430" width="13" style="392" customWidth="1"/>
    <col min="7431" max="7431" width="12.85546875" style="392" customWidth="1"/>
    <col min="7432" max="7432" width="31.42578125" style="392" customWidth="1"/>
    <col min="7433" max="7433" width="9.140625" style="392"/>
    <col min="7434" max="7434" width="8.42578125" style="392" customWidth="1"/>
    <col min="7435" max="7435" width="11.5703125" style="392" customWidth="1"/>
    <col min="7436" max="7436" width="11" style="392" customWidth="1"/>
    <col min="7437" max="7437" width="12.85546875" style="392" customWidth="1"/>
    <col min="7438" max="7438" width="11.5703125" style="392" customWidth="1"/>
    <col min="7439" max="7439" width="11.28515625" style="392" customWidth="1"/>
    <col min="7440" max="7440" width="9.140625" style="392"/>
    <col min="7441" max="7441" width="12.42578125" style="392" customWidth="1"/>
    <col min="7442" max="7442" width="12.28515625" style="392" customWidth="1"/>
    <col min="7443" max="7443" width="10.7109375" style="392" customWidth="1"/>
    <col min="7444" max="7444" width="12.42578125" style="392" customWidth="1"/>
    <col min="7445" max="7680" width="9.140625" style="392"/>
    <col min="7681" max="7681" width="5.5703125" style="392" customWidth="1"/>
    <col min="7682" max="7682" width="7.5703125" style="392" customWidth="1"/>
    <col min="7683" max="7683" width="17" style="392" customWidth="1"/>
    <col min="7684" max="7684" width="13.140625" style="392" customWidth="1"/>
    <col min="7685" max="7685" width="13.85546875" style="392" customWidth="1"/>
    <col min="7686" max="7686" width="13" style="392" customWidth="1"/>
    <col min="7687" max="7687" width="12.85546875" style="392" customWidth="1"/>
    <col min="7688" max="7688" width="31.42578125" style="392" customWidth="1"/>
    <col min="7689" max="7689" width="9.140625" style="392"/>
    <col min="7690" max="7690" width="8.42578125" style="392" customWidth="1"/>
    <col min="7691" max="7691" width="11.5703125" style="392" customWidth="1"/>
    <col min="7692" max="7692" width="11" style="392" customWidth="1"/>
    <col min="7693" max="7693" width="12.85546875" style="392" customWidth="1"/>
    <col min="7694" max="7694" width="11.5703125" style="392" customWidth="1"/>
    <col min="7695" max="7695" width="11.28515625" style="392" customWidth="1"/>
    <col min="7696" max="7696" width="9.140625" style="392"/>
    <col min="7697" max="7697" width="12.42578125" style="392" customWidth="1"/>
    <col min="7698" max="7698" width="12.28515625" style="392" customWidth="1"/>
    <col min="7699" max="7699" width="10.7109375" style="392" customWidth="1"/>
    <col min="7700" max="7700" width="12.42578125" style="392" customWidth="1"/>
    <col min="7701" max="7936" width="9.140625" style="392"/>
    <col min="7937" max="7937" width="5.5703125" style="392" customWidth="1"/>
    <col min="7938" max="7938" width="7.5703125" style="392" customWidth="1"/>
    <col min="7939" max="7939" width="17" style="392" customWidth="1"/>
    <col min="7940" max="7940" width="13.140625" style="392" customWidth="1"/>
    <col min="7941" max="7941" width="13.85546875" style="392" customWidth="1"/>
    <col min="7942" max="7942" width="13" style="392" customWidth="1"/>
    <col min="7943" max="7943" width="12.85546875" style="392" customWidth="1"/>
    <col min="7944" max="7944" width="31.42578125" style="392" customWidth="1"/>
    <col min="7945" max="7945" width="9.140625" style="392"/>
    <col min="7946" max="7946" width="8.42578125" style="392" customWidth="1"/>
    <col min="7947" max="7947" width="11.5703125" style="392" customWidth="1"/>
    <col min="7948" max="7948" width="11" style="392" customWidth="1"/>
    <col min="7949" max="7949" width="12.85546875" style="392" customWidth="1"/>
    <col min="7950" max="7950" width="11.5703125" style="392" customWidth="1"/>
    <col min="7951" max="7951" width="11.28515625" style="392" customWidth="1"/>
    <col min="7952" max="7952" width="9.140625" style="392"/>
    <col min="7953" max="7953" width="12.42578125" style="392" customWidth="1"/>
    <col min="7954" max="7954" width="12.28515625" style="392" customWidth="1"/>
    <col min="7955" max="7955" width="10.7109375" style="392" customWidth="1"/>
    <col min="7956" max="7956" width="12.42578125" style="392" customWidth="1"/>
    <col min="7957" max="8192" width="9.140625" style="392"/>
    <col min="8193" max="8193" width="5.5703125" style="392" customWidth="1"/>
    <col min="8194" max="8194" width="7.5703125" style="392" customWidth="1"/>
    <col min="8195" max="8195" width="17" style="392" customWidth="1"/>
    <col min="8196" max="8196" width="13.140625" style="392" customWidth="1"/>
    <col min="8197" max="8197" width="13.85546875" style="392" customWidth="1"/>
    <col min="8198" max="8198" width="13" style="392" customWidth="1"/>
    <col min="8199" max="8199" width="12.85546875" style="392" customWidth="1"/>
    <col min="8200" max="8200" width="31.42578125" style="392" customWidth="1"/>
    <col min="8201" max="8201" width="9.140625" style="392"/>
    <col min="8202" max="8202" width="8.42578125" style="392" customWidth="1"/>
    <col min="8203" max="8203" width="11.5703125" style="392" customWidth="1"/>
    <col min="8204" max="8204" width="11" style="392" customWidth="1"/>
    <col min="8205" max="8205" width="12.85546875" style="392" customWidth="1"/>
    <col min="8206" max="8206" width="11.5703125" style="392" customWidth="1"/>
    <col min="8207" max="8207" width="11.28515625" style="392" customWidth="1"/>
    <col min="8208" max="8208" width="9.140625" style="392"/>
    <col min="8209" max="8209" width="12.42578125" style="392" customWidth="1"/>
    <col min="8210" max="8210" width="12.28515625" style="392" customWidth="1"/>
    <col min="8211" max="8211" width="10.7109375" style="392" customWidth="1"/>
    <col min="8212" max="8212" width="12.42578125" style="392" customWidth="1"/>
    <col min="8213" max="8448" width="9.140625" style="392"/>
    <col min="8449" max="8449" width="5.5703125" style="392" customWidth="1"/>
    <col min="8450" max="8450" width="7.5703125" style="392" customWidth="1"/>
    <col min="8451" max="8451" width="17" style="392" customWidth="1"/>
    <col min="8452" max="8452" width="13.140625" style="392" customWidth="1"/>
    <col min="8453" max="8453" width="13.85546875" style="392" customWidth="1"/>
    <col min="8454" max="8454" width="13" style="392" customWidth="1"/>
    <col min="8455" max="8455" width="12.85546875" style="392" customWidth="1"/>
    <col min="8456" max="8456" width="31.42578125" style="392" customWidth="1"/>
    <col min="8457" max="8457" width="9.140625" style="392"/>
    <col min="8458" max="8458" width="8.42578125" style="392" customWidth="1"/>
    <col min="8459" max="8459" width="11.5703125" style="392" customWidth="1"/>
    <col min="8460" max="8460" width="11" style="392" customWidth="1"/>
    <col min="8461" max="8461" width="12.85546875" style="392" customWidth="1"/>
    <col min="8462" max="8462" width="11.5703125" style="392" customWidth="1"/>
    <col min="8463" max="8463" width="11.28515625" style="392" customWidth="1"/>
    <col min="8464" max="8464" width="9.140625" style="392"/>
    <col min="8465" max="8465" width="12.42578125" style="392" customWidth="1"/>
    <col min="8466" max="8466" width="12.28515625" style="392" customWidth="1"/>
    <col min="8467" max="8467" width="10.7109375" style="392" customWidth="1"/>
    <col min="8468" max="8468" width="12.42578125" style="392" customWidth="1"/>
    <col min="8469" max="8704" width="9.140625" style="392"/>
    <col min="8705" max="8705" width="5.5703125" style="392" customWidth="1"/>
    <col min="8706" max="8706" width="7.5703125" style="392" customWidth="1"/>
    <col min="8707" max="8707" width="17" style="392" customWidth="1"/>
    <col min="8708" max="8708" width="13.140625" style="392" customWidth="1"/>
    <col min="8709" max="8709" width="13.85546875" style="392" customWidth="1"/>
    <col min="8710" max="8710" width="13" style="392" customWidth="1"/>
    <col min="8711" max="8711" width="12.85546875" style="392" customWidth="1"/>
    <col min="8712" max="8712" width="31.42578125" style="392" customWidth="1"/>
    <col min="8713" max="8713" width="9.140625" style="392"/>
    <col min="8714" max="8714" width="8.42578125" style="392" customWidth="1"/>
    <col min="8715" max="8715" width="11.5703125" style="392" customWidth="1"/>
    <col min="8716" max="8716" width="11" style="392" customWidth="1"/>
    <col min="8717" max="8717" width="12.85546875" style="392" customWidth="1"/>
    <col min="8718" max="8718" width="11.5703125" style="392" customWidth="1"/>
    <col min="8719" max="8719" width="11.28515625" style="392" customWidth="1"/>
    <col min="8720" max="8720" width="9.140625" style="392"/>
    <col min="8721" max="8721" width="12.42578125" style="392" customWidth="1"/>
    <col min="8722" max="8722" width="12.28515625" style="392" customWidth="1"/>
    <col min="8723" max="8723" width="10.7109375" style="392" customWidth="1"/>
    <col min="8724" max="8724" width="12.42578125" style="392" customWidth="1"/>
    <col min="8725" max="8960" width="9.140625" style="392"/>
    <col min="8961" max="8961" width="5.5703125" style="392" customWidth="1"/>
    <col min="8962" max="8962" width="7.5703125" style="392" customWidth="1"/>
    <col min="8963" max="8963" width="17" style="392" customWidth="1"/>
    <col min="8964" max="8964" width="13.140625" style="392" customWidth="1"/>
    <col min="8965" max="8965" width="13.85546875" style="392" customWidth="1"/>
    <col min="8966" max="8966" width="13" style="392" customWidth="1"/>
    <col min="8967" max="8967" width="12.85546875" style="392" customWidth="1"/>
    <col min="8968" max="8968" width="31.42578125" style="392" customWidth="1"/>
    <col min="8969" max="8969" width="9.140625" style="392"/>
    <col min="8970" max="8970" width="8.42578125" style="392" customWidth="1"/>
    <col min="8971" max="8971" width="11.5703125" style="392" customWidth="1"/>
    <col min="8972" max="8972" width="11" style="392" customWidth="1"/>
    <col min="8973" max="8973" width="12.85546875" style="392" customWidth="1"/>
    <col min="8974" max="8974" width="11.5703125" style="392" customWidth="1"/>
    <col min="8975" max="8975" width="11.28515625" style="392" customWidth="1"/>
    <col min="8976" max="8976" width="9.140625" style="392"/>
    <col min="8977" max="8977" width="12.42578125" style="392" customWidth="1"/>
    <col min="8978" max="8978" width="12.28515625" style="392" customWidth="1"/>
    <col min="8979" max="8979" width="10.7109375" style="392" customWidth="1"/>
    <col min="8980" max="8980" width="12.42578125" style="392" customWidth="1"/>
    <col min="8981" max="9216" width="9.140625" style="392"/>
    <col min="9217" max="9217" width="5.5703125" style="392" customWidth="1"/>
    <col min="9218" max="9218" width="7.5703125" style="392" customWidth="1"/>
    <col min="9219" max="9219" width="17" style="392" customWidth="1"/>
    <col min="9220" max="9220" width="13.140625" style="392" customWidth="1"/>
    <col min="9221" max="9221" width="13.85546875" style="392" customWidth="1"/>
    <col min="9222" max="9222" width="13" style="392" customWidth="1"/>
    <col min="9223" max="9223" width="12.85546875" style="392" customWidth="1"/>
    <col min="9224" max="9224" width="31.42578125" style="392" customWidth="1"/>
    <col min="9225" max="9225" width="9.140625" style="392"/>
    <col min="9226" max="9226" width="8.42578125" style="392" customWidth="1"/>
    <col min="9227" max="9227" width="11.5703125" style="392" customWidth="1"/>
    <col min="9228" max="9228" width="11" style="392" customWidth="1"/>
    <col min="9229" max="9229" width="12.85546875" style="392" customWidth="1"/>
    <col min="9230" max="9230" width="11.5703125" style="392" customWidth="1"/>
    <col min="9231" max="9231" width="11.28515625" style="392" customWidth="1"/>
    <col min="9232" max="9232" width="9.140625" style="392"/>
    <col min="9233" max="9233" width="12.42578125" style="392" customWidth="1"/>
    <col min="9234" max="9234" width="12.28515625" style="392" customWidth="1"/>
    <col min="9235" max="9235" width="10.7109375" style="392" customWidth="1"/>
    <col min="9236" max="9236" width="12.42578125" style="392" customWidth="1"/>
    <col min="9237" max="9472" width="9.140625" style="392"/>
    <col min="9473" max="9473" width="5.5703125" style="392" customWidth="1"/>
    <col min="9474" max="9474" width="7.5703125" style="392" customWidth="1"/>
    <col min="9475" max="9475" width="17" style="392" customWidth="1"/>
    <col min="9476" max="9476" width="13.140625" style="392" customWidth="1"/>
    <col min="9477" max="9477" width="13.85546875" style="392" customWidth="1"/>
    <col min="9478" max="9478" width="13" style="392" customWidth="1"/>
    <col min="9479" max="9479" width="12.85546875" style="392" customWidth="1"/>
    <col min="9480" max="9480" width="31.42578125" style="392" customWidth="1"/>
    <col min="9481" max="9481" width="9.140625" style="392"/>
    <col min="9482" max="9482" width="8.42578125" style="392" customWidth="1"/>
    <col min="9483" max="9483" width="11.5703125" style="392" customWidth="1"/>
    <col min="9484" max="9484" width="11" style="392" customWidth="1"/>
    <col min="9485" max="9485" width="12.85546875" style="392" customWidth="1"/>
    <col min="9486" max="9486" width="11.5703125" style="392" customWidth="1"/>
    <col min="9487" max="9487" width="11.28515625" style="392" customWidth="1"/>
    <col min="9488" max="9488" width="9.140625" style="392"/>
    <col min="9489" max="9489" width="12.42578125" style="392" customWidth="1"/>
    <col min="9490" max="9490" width="12.28515625" style="392" customWidth="1"/>
    <col min="9491" max="9491" width="10.7109375" style="392" customWidth="1"/>
    <col min="9492" max="9492" width="12.42578125" style="392" customWidth="1"/>
    <col min="9493" max="9728" width="9.140625" style="392"/>
    <col min="9729" max="9729" width="5.5703125" style="392" customWidth="1"/>
    <col min="9730" max="9730" width="7.5703125" style="392" customWidth="1"/>
    <col min="9731" max="9731" width="17" style="392" customWidth="1"/>
    <col min="9732" max="9732" width="13.140625" style="392" customWidth="1"/>
    <col min="9733" max="9733" width="13.85546875" style="392" customWidth="1"/>
    <col min="9734" max="9734" width="13" style="392" customWidth="1"/>
    <col min="9735" max="9735" width="12.85546875" style="392" customWidth="1"/>
    <col min="9736" max="9736" width="31.42578125" style="392" customWidth="1"/>
    <col min="9737" max="9737" width="9.140625" style="392"/>
    <col min="9738" max="9738" width="8.42578125" style="392" customWidth="1"/>
    <col min="9739" max="9739" width="11.5703125" style="392" customWidth="1"/>
    <col min="9740" max="9740" width="11" style="392" customWidth="1"/>
    <col min="9741" max="9741" width="12.85546875" style="392" customWidth="1"/>
    <col min="9742" max="9742" width="11.5703125" style="392" customWidth="1"/>
    <col min="9743" max="9743" width="11.28515625" style="392" customWidth="1"/>
    <col min="9744" max="9744" width="9.140625" style="392"/>
    <col min="9745" max="9745" width="12.42578125" style="392" customWidth="1"/>
    <col min="9746" max="9746" width="12.28515625" style="392" customWidth="1"/>
    <col min="9747" max="9747" width="10.7109375" style="392" customWidth="1"/>
    <col min="9748" max="9748" width="12.42578125" style="392" customWidth="1"/>
    <col min="9749" max="9984" width="9.140625" style="392"/>
    <col min="9985" max="9985" width="5.5703125" style="392" customWidth="1"/>
    <col min="9986" max="9986" width="7.5703125" style="392" customWidth="1"/>
    <col min="9987" max="9987" width="17" style="392" customWidth="1"/>
    <col min="9988" max="9988" width="13.140625" style="392" customWidth="1"/>
    <col min="9989" max="9989" width="13.85546875" style="392" customWidth="1"/>
    <col min="9990" max="9990" width="13" style="392" customWidth="1"/>
    <col min="9991" max="9991" width="12.85546875" style="392" customWidth="1"/>
    <col min="9992" max="9992" width="31.42578125" style="392" customWidth="1"/>
    <col min="9993" max="9993" width="9.140625" style="392"/>
    <col min="9994" max="9994" width="8.42578125" style="392" customWidth="1"/>
    <col min="9995" max="9995" width="11.5703125" style="392" customWidth="1"/>
    <col min="9996" max="9996" width="11" style="392" customWidth="1"/>
    <col min="9997" max="9997" width="12.85546875" style="392" customWidth="1"/>
    <col min="9998" max="9998" width="11.5703125" style="392" customWidth="1"/>
    <col min="9999" max="9999" width="11.28515625" style="392" customWidth="1"/>
    <col min="10000" max="10000" width="9.140625" style="392"/>
    <col min="10001" max="10001" width="12.42578125" style="392" customWidth="1"/>
    <col min="10002" max="10002" width="12.28515625" style="392" customWidth="1"/>
    <col min="10003" max="10003" width="10.7109375" style="392" customWidth="1"/>
    <col min="10004" max="10004" width="12.42578125" style="392" customWidth="1"/>
    <col min="10005" max="10240" width="9.140625" style="392"/>
    <col min="10241" max="10241" width="5.5703125" style="392" customWidth="1"/>
    <col min="10242" max="10242" width="7.5703125" style="392" customWidth="1"/>
    <col min="10243" max="10243" width="17" style="392" customWidth="1"/>
    <col min="10244" max="10244" width="13.140625" style="392" customWidth="1"/>
    <col min="10245" max="10245" width="13.85546875" style="392" customWidth="1"/>
    <col min="10246" max="10246" width="13" style="392" customWidth="1"/>
    <col min="10247" max="10247" width="12.85546875" style="392" customWidth="1"/>
    <col min="10248" max="10248" width="31.42578125" style="392" customWidth="1"/>
    <col min="10249" max="10249" width="9.140625" style="392"/>
    <col min="10250" max="10250" width="8.42578125" style="392" customWidth="1"/>
    <col min="10251" max="10251" width="11.5703125" style="392" customWidth="1"/>
    <col min="10252" max="10252" width="11" style="392" customWidth="1"/>
    <col min="10253" max="10253" width="12.85546875" style="392" customWidth="1"/>
    <col min="10254" max="10254" width="11.5703125" style="392" customWidth="1"/>
    <col min="10255" max="10255" width="11.28515625" style="392" customWidth="1"/>
    <col min="10256" max="10256" width="9.140625" style="392"/>
    <col min="10257" max="10257" width="12.42578125" style="392" customWidth="1"/>
    <col min="10258" max="10258" width="12.28515625" style="392" customWidth="1"/>
    <col min="10259" max="10259" width="10.7109375" style="392" customWidth="1"/>
    <col min="10260" max="10260" width="12.42578125" style="392" customWidth="1"/>
    <col min="10261" max="10496" width="9.140625" style="392"/>
    <col min="10497" max="10497" width="5.5703125" style="392" customWidth="1"/>
    <col min="10498" max="10498" width="7.5703125" style="392" customWidth="1"/>
    <col min="10499" max="10499" width="17" style="392" customWidth="1"/>
    <col min="10500" max="10500" width="13.140625" style="392" customWidth="1"/>
    <col min="10501" max="10501" width="13.85546875" style="392" customWidth="1"/>
    <col min="10502" max="10502" width="13" style="392" customWidth="1"/>
    <col min="10503" max="10503" width="12.85546875" style="392" customWidth="1"/>
    <col min="10504" max="10504" width="31.42578125" style="392" customWidth="1"/>
    <col min="10505" max="10505" width="9.140625" style="392"/>
    <col min="10506" max="10506" width="8.42578125" style="392" customWidth="1"/>
    <col min="10507" max="10507" width="11.5703125" style="392" customWidth="1"/>
    <col min="10508" max="10508" width="11" style="392" customWidth="1"/>
    <col min="10509" max="10509" width="12.85546875" style="392" customWidth="1"/>
    <col min="10510" max="10510" width="11.5703125" style="392" customWidth="1"/>
    <col min="10511" max="10511" width="11.28515625" style="392" customWidth="1"/>
    <col min="10512" max="10512" width="9.140625" style="392"/>
    <col min="10513" max="10513" width="12.42578125" style="392" customWidth="1"/>
    <col min="10514" max="10514" width="12.28515625" style="392" customWidth="1"/>
    <col min="10515" max="10515" width="10.7109375" style="392" customWidth="1"/>
    <col min="10516" max="10516" width="12.42578125" style="392" customWidth="1"/>
    <col min="10517" max="10752" width="9.140625" style="392"/>
    <col min="10753" max="10753" width="5.5703125" style="392" customWidth="1"/>
    <col min="10754" max="10754" width="7.5703125" style="392" customWidth="1"/>
    <col min="10755" max="10755" width="17" style="392" customWidth="1"/>
    <col min="10756" max="10756" width="13.140625" style="392" customWidth="1"/>
    <col min="10757" max="10757" width="13.85546875" style="392" customWidth="1"/>
    <col min="10758" max="10758" width="13" style="392" customWidth="1"/>
    <col min="10759" max="10759" width="12.85546875" style="392" customWidth="1"/>
    <col min="10760" max="10760" width="31.42578125" style="392" customWidth="1"/>
    <col min="10761" max="10761" width="9.140625" style="392"/>
    <col min="10762" max="10762" width="8.42578125" style="392" customWidth="1"/>
    <col min="10763" max="10763" width="11.5703125" style="392" customWidth="1"/>
    <col min="10764" max="10764" width="11" style="392" customWidth="1"/>
    <col min="10765" max="10765" width="12.85546875" style="392" customWidth="1"/>
    <col min="10766" max="10766" width="11.5703125" style="392" customWidth="1"/>
    <col min="10767" max="10767" width="11.28515625" style="392" customWidth="1"/>
    <col min="10768" max="10768" width="9.140625" style="392"/>
    <col min="10769" max="10769" width="12.42578125" style="392" customWidth="1"/>
    <col min="10770" max="10770" width="12.28515625" style="392" customWidth="1"/>
    <col min="10771" max="10771" width="10.7109375" style="392" customWidth="1"/>
    <col min="10772" max="10772" width="12.42578125" style="392" customWidth="1"/>
    <col min="10773" max="11008" width="9.140625" style="392"/>
    <col min="11009" max="11009" width="5.5703125" style="392" customWidth="1"/>
    <col min="11010" max="11010" width="7.5703125" style="392" customWidth="1"/>
    <col min="11011" max="11011" width="17" style="392" customWidth="1"/>
    <col min="11012" max="11012" width="13.140625" style="392" customWidth="1"/>
    <col min="11013" max="11013" width="13.85546875" style="392" customWidth="1"/>
    <col min="11014" max="11014" width="13" style="392" customWidth="1"/>
    <col min="11015" max="11015" width="12.85546875" style="392" customWidth="1"/>
    <col min="11016" max="11016" width="31.42578125" style="392" customWidth="1"/>
    <col min="11017" max="11017" width="9.140625" style="392"/>
    <col min="11018" max="11018" width="8.42578125" style="392" customWidth="1"/>
    <col min="11019" max="11019" width="11.5703125" style="392" customWidth="1"/>
    <col min="11020" max="11020" width="11" style="392" customWidth="1"/>
    <col min="11021" max="11021" width="12.85546875" style="392" customWidth="1"/>
    <col min="11022" max="11022" width="11.5703125" style="392" customWidth="1"/>
    <col min="11023" max="11023" width="11.28515625" style="392" customWidth="1"/>
    <col min="11024" max="11024" width="9.140625" style="392"/>
    <col min="11025" max="11025" width="12.42578125" style="392" customWidth="1"/>
    <col min="11026" max="11026" width="12.28515625" style="392" customWidth="1"/>
    <col min="11027" max="11027" width="10.7109375" style="392" customWidth="1"/>
    <col min="11028" max="11028" width="12.42578125" style="392" customWidth="1"/>
    <col min="11029" max="11264" width="9.140625" style="392"/>
    <col min="11265" max="11265" width="5.5703125" style="392" customWidth="1"/>
    <col min="11266" max="11266" width="7.5703125" style="392" customWidth="1"/>
    <col min="11267" max="11267" width="17" style="392" customWidth="1"/>
    <col min="11268" max="11268" width="13.140625" style="392" customWidth="1"/>
    <col min="11269" max="11269" width="13.85546875" style="392" customWidth="1"/>
    <col min="11270" max="11270" width="13" style="392" customWidth="1"/>
    <col min="11271" max="11271" width="12.85546875" style="392" customWidth="1"/>
    <col min="11272" max="11272" width="31.42578125" style="392" customWidth="1"/>
    <col min="11273" max="11273" width="9.140625" style="392"/>
    <col min="11274" max="11274" width="8.42578125" style="392" customWidth="1"/>
    <col min="11275" max="11275" width="11.5703125" style="392" customWidth="1"/>
    <col min="11276" max="11276" width="11" style="392" customWidth="1"/>
    <col min="11277" max="11277" width="12.85546875" style="392" customWidth="1"/>
    <col min="11278" max="11278" width="11.5703125" style="392" customWidth="1"/>
    <col min="11279" max="11279" width="11.28515625" style="392" customWidth="1"/>
    <col min="11280" max="11280" width="9.140625" style="392"/>
    <col min="11281" max="11281" width="12.42578125" style="392" customWidth="1"/>
    <col min="11282" max="11282" width="12.28515625" style="392" customWidth="1"/>
    <col min="11283" max="11283" width="10.7109375" style="392" customWidth="1"/>
    <col min="11284" max="11284" width="12.42578125" style="392" customWidth="1"/>
    <col min="11285" max="11520" width="9.140625" style="392"/>
    <col min="11521" max="11521" width="5.5703125" style="392" customWidth="1"/>
    <col min="11522" max="11522" width="7.5703125" style="392" customWidth="1"/>
    <col min="11523" max="11523" width="17" style="392" customWidth="1"/>
    <col min="11524" max="11524" width="13.140625" style="392" customWidth="1"/>
    <col min="11525" max="11525" width="13.85546875" style="392" customWidth="1"/>
    <col min="11526" max="11526" width="13" style="392" customWidth="1"/>
    <col min="11527" max="11527" width="12.85546875" style="392" customWidth="1"/>
    <col min="11528" max="11528" width="31.42578125" style="392" customWidth="1"/>
    <col min="11529" max="11529" width="9.140625" style="392"/>
    <col min="11530" max="11530" width="8.42578125" style="392" customWidth="1"/>
    <col min="11531" max="11531" width="11.5703125" style="392" customWidth="1"/>
    <col min="11532" max="11532" width="11" style="392" customWidth="1"/>
    <col min="11533" max="11533" width="12.85546875" style="392" customWidth="1"/>
    <col min="11534" max="11534" width="11.5703125" style="392" customWidth="1"/>
    <col min="11535" max="11535" width="11.28515625" style="392" customWidth="1"/>
    <col min="11536" max="11536" width="9.140625" style="392"/>
    <col min="11537" max="11537" width="12.42578125" style="392" customWidth="1"/>
    <col min="11538" max="11538" width="12.28515625" style="392" customWidth="1"/>
    <col min="11539" max="11539" width="10.7109375" style="392" customWidth="1"/>
    <col min="11540" max="11540" width="12.42578125" style="392" customWidth="1"/>
    <col min="11541" max="11776" width="9.140625" style="392"/>
    <col min="11777" max="11777" width="5.5703125" style="392" customWidth="1"/>
    <col min="11778" max="11778" width="7.5703125" style="392" customWidth="1"/>
    <col min="11779" max="11779" width="17" style="392" customWidth="1"/>
    <col min="11780" max="11780" width="13.140625" style="392" customWidth="1"/>
    <col min="11781" max="11781" width="13.85546875" style="392" customWidth="1"/>
    <col min="11782" max="11782" width="13" style="392" customWidth="1"/>
    <col min="11783" max="11783" width="12.85546875" style="392" customWidth="1"/>
    <col min="11784" max="11784" width="31.42578125" style="392" customWidth="1"/>
    <col min="11785" max="11785" width="9.140625" style="392"/>
    <col min="11786" max="11786" width="8.42578125" style="392" customWidth="1"/>
    <col min="11787" max="11787" width="11.5703125" style="392" customWidth="1"/>
    <col min="11788" max="11788" width="11" style="392" customWidth="1"/>
    <col min="11789" max="11789" width="12.85546875" style="392" customWidth="1"/>
    <col min="11790" max="11790" width="11.5703125" style="392" customWidth="1"/>
    <col min="11791" max="11791" width="11.28515625" style="392" customWidth="1"/>
    <col min="11792" max="11792" width="9.140625" style="392"/>
    <col min="11793" max="11793" width="12.42578125" style="392" customWidth="1"/>
    <col min="11794" max="11794" width="12.28515625" style="392" customWidth="1"/>
    <col min="11795" max="11795" width="10.7109375" style="392" customWidth="1"/>
    <col min="11796" max="11796" width="12.42578125" style="392" customWidth="1"/>
    <col min="11797" max="12032" width="9.140625" style="392"/>
    <col min="12033" max="12033" width="5.5703125" style="392" customWidth="1"/>
    <col min="12034" max="12034" width="7.5703125" style="392" customWidth="1"/>
    <col min="12035" max="12035" width="17" style="392" customWidth="1"/>
    <col min="12036" max="12036" width="13.140625" style="392" customWidth="1"/>
    <col min="12037" max="12037" width="13.85546875" style="392" customWidth="1"/>
    <col min="12038" max="12038" width="13" style="392" customWidth="1"/>
    <col min="12039" max="12039" width="12.85546875" style="392" customWidth="1"/>
    <col min="12040" max="12040" width="31.42578125" style="392" customWidth="1"/>
    <col min="12041" max="12041" width="9.140625" style="392"/>
    <col min="12042" max="12042" width="8.42578125" style="392" customWidth="1"/>
    <col min="12043" max="12043" width="11.5703125" style="392" customWidth="1"/>
    <col min="12044" max="12044" width="11" style="392" customWidth="1"/>
    <col min="12045" max="12045" width="12.85546875" style="392" customWidth="1"/>
    <col min="12046" max="12046" width="11.5703125" style="392" customWidth="1"/>
    <col min="12047" max="12047" width="11.28515625" style="392" customWidth="1"/>
    <col min="12048" max="12048" width="9.140625" style="392"/>
    <col min="12049" max="12049" width="12.42578125" style="392" customWidth="1"/>
    <col min="12050" max="12050" width="12.28515625" style="392" customWidth="1"/>
    <col min="12051" max="12051" width="10.7109375" style="392" customWidth="1"/>
    <col min="12052" max="12052" width="12.42578125" style="392" customWidth="1"/>
    <col min="12053" max="12288" width="9.140625" style="392"/>
    <col min="12289" max="12289" width="5.5703125" style="392" customWidth="1"/>
    <col min="12290" max="12290" width="7.5703125" style="392" customWidth="1"/>
    <col min="12291" max="12291" width="17" style="392" customWidth="1"/>
    <col min="12292" max="12292" width="13.140625" style="392" customWidth="1"/>
    <col min="12293" max="12293" width="13.85546875" style="392" customWidth="1"/>
    <col min="12294" max="12294" width="13" style="392" customWidth="1"/>
    <col min="12295" max="12295" width="12.85546875" style="392" customWidth="1"/>
    <col min="12296" max="12296" width="31.42578125" style="392" customWidth="1"/>
    <col min="12297" max="12297" width="9.140625" style="392"/>
    <col min="12298" max="12298" width="8.42578125" style="392" customWidth="1"/>
    <col min="12299" max="12299" width="11.5703125" style="392" customWidth="1"/>
    <col min="12300" max="12300" width="11" style="392" customWidth="1"/>
    <col min="12301" max="12301" width="12.85546875" style="392" customWidth="1"/>
    <col min="12302" max="12302" width="11.5703125" style="392" customWidth="1"/>
    <col min="12303" max="12303" width="11.28515625" style="392" customWidth="1"/>
    <col min="12304" max="12304" width="9.140625" style="392"/>
    <col min="12305" max="12305" width="12.42578125" style="392" customWidth="1"/>
    <col min="12306" max="12306" width="12.28515625" style="392" customWidth="1"/>
    <col min="12307" max="12307" width="10.7109375" style="392" customWidth="1"/>
    <col min="12308" max="12308" width="12.42578125" style="392" customWidth="1"/>
    <col min="12309" max="12544" width="9.140625" style="392"/>
    <col min="12545" max="12545" width="5.5703125" style="392" customWidth="1"/>
    <col min="12546" max="12546" width="7.5703125" style="392" customWidth="1"/>
    <col min="12547" max="12547" width="17" style="392" customWidth="1"/>
    <col min="12548" max="12548" width="13.140625" style="392" customWidth="1"/>
    <col min="12549" max="12549" width="13.85546875" style="392" customWidth="1"/>
    <col min="12550" max="12550" width="13" style="392" customWidth="1"/>
    <col min="12551" max="12551" width="12.85546875" style="392" customWidth="1"/>
    <col min="12552" max="12552" width="31.42578125" style="392" customWidth="1"/>
    <col min="12553" max="12553" width="9.140625" style="392"/>
    <col min="12554" max="12554" width="8.42578125" style="392" customWidth="1"/>
    <col min="12555" max="12555" width="11.5703125" style="392" customWidth="1"/>
    <col min="12556" max="12556" width="11" style="392" customWidth="1"/>
    <col min="12557" max="12557" width="12.85546875" style="392" customWidth="1"/>
    <col min="12558" max="12558" width="11.5703125" style="392" customWidth="1"/>
    <col min="12559" max="12559" width="11.28515625" style="392" customWidth="1"/>
    <col min="12560" max="12560" width="9.140625" style="392"/>
    <col min="12561" max="12561" width="12.42578125" style="392" customWidth="1"/>
    <col min="12562" max="12562" width="12.28515625" style="392" customWidth="1"/>
    <col min="12563" max="12563" width="10.7109375" style="392" customWidth="1"/>
    <col min="12564" max="12564" width="12.42578125" style="392" customWidth="1"/>
    <col min="12565" max="12800" width="9.140625" style="392"/>
    <col min="12801" max="12801" width="5.5703125" style="392" customWidth="1"/>
    <col min="12802" max="12802" width="7.5703125" style="392" customWidth="1"/>
    <col min="12803" max="12803" width="17" style="392" customWidth="1"/>
    <col min="12804" max="12804" width="13.140625" style="392" customWidth="1"/>
    <col min="12805" max="12805" width="13.85546875" style="392" customWidth="1"/>
    <col min="12806" max="12806" width="13" style="392" customWidth="1"/>
    <col min="12807" max="12807" width="12.85546875" style="392" customWidth="1"/>
    <col min="12808" max="12808" width="31.42578125" style="392" customWidth="1"/>
    <col min="12809" max="12809" width="9.140625" style="392"/>
    <col min="12810" max="12810" width="8.42578125" style="392" customWidth="1"/>
    <col min="12811" max="12811" width="11.5703125" style="392" customWidth="1"/>
    <col min="12812" max="12812" width="11" style="392" customWidth="1"/>
    <col min="12813" max="12813" width="12.85546875" style="392" customWidth="1"/>
    <col min="12814" max="12814" width="11.5703125" style="392" customWidth="1"/>
    <col min="12815" max="12815" width="11.28515625" style="392" customWidth="1"/>
    <col min="12816" max="12816" width="9.140625" style="392"/>
    <col min="12817" max="12817" width="12.42578125" style="392" customWidth="1"/>
    <col min="12818" max="12818" width="12.28515625" style="392" customWidth="1"/>
    <col min="12819" max="12819" width="10.7109375" style="392" customWidth="1"/>
    <col min="12820" max="12820" width="12.42578125" style="392" customWidth="1"/>
    <col min="12821" max="13056" width="9.140625" style="392"/>
    <col min="13057" max="13057" width="5.5703125" style="392" customWidth="1"/>
    <col min="13058" max="13058" width="7.5703125" style="392" customWidth="1"/>
    <col min="13059" max="13059" width="17" style="392" customWidth="1"/>
    <col min="13060" max="13060" width="13.140625" style="392" customWidth="1"/>
    <col min="13061" max="13061" width="13.85546875" style="392" customWidth="1"/>
    <col min="13062" max="13062" width="13" style="392" customWidth="1"/>
    <col min="13063" max="13063" width="12.85546875" style="392" customWidth="1"/>
    <col min="13064" max="13064" width="31.42578125" style="392" customWidth="1"/>
    <col min="13065" max="13065" width="9.140625" style="392"/>
    <col min="13066" max="13066" width="8.42578125" style="392" customWidth="1"/>
    <col min="13067" max="13067" width="11.5703125" style="392" customWidth="1"/>
    <col min="13068" max="13068" width="11" style="392" customWidth="1"/>
    <col min="13069" max="13069" width="12.85546875" style="392" customWidth="1"/>
    <col min="13070" max="13070" width="11.5703125" style="392" customWidth="1"/>
    <col min="13071" max="13071" width="11.28515625" style="392" customWidth="1"/>
    <col min="13072" max="13072" width="9.140625" style="392"/>
    <col min="13073" max="13073" width="12.42578125" style="392" customWidth="1"/>
    <col min="13074" max="13074" width="12.28515625" style="392" customWidth="1"/>
    <col min="13075" max="13075" width="10.7109375" style="392" customWidth="1"/>
    <col min="13076" max="13076" width="12.42578125" style="392" customWidth="1"/>
    <col min="13077" max="13312" width="9.140625" style="392"/>
    <col min="13313" max="13313" width="5.5703125" style="392" customWidth="1"/>
    <col min="13314" max="13314" width="7.5703125" style="392" customWidth="1"/>
    <col min="13315" max="13315" width="17" style="392" customWidth="1"/>
    <col min="13316" max="13316" width="13.140625" style="392" customWidth="1"/>
    <col min="13317" max="13317" width="13.85546875" style="392" customWidth="1"/>
    <col min="13318" max="13318" width="13" style="392" customWidth="1"/>
    <col min="13319" max="13319" width="12.85546875" style="392" customWidth="1"/>
    <col min="13320" max="13320" width="31.42578125" style="392" customWidth="1"/>
    <col min="13321" max="13321" width="9.140625" style="392"/>
    <col min="13322" max="13322" width="8.42578125" style="392" customWidth="1"/>
    <col min="13323" max="13323" width="11.5703125" style="392" customWidth="1"/>
    <col min="13324" max="13324" width="11" style="392" customWidth="1"/>
    <col min="13325" max="13325" width="12.85546875" style="392" customWidth="1"/>
    <col min="13326" max="13326" width="11.5703125" style="392" customWidth="1"/>
    <col min="13327" max="13327" width="11.28515625" style="392" customWidth="1"/>
    <col min="13328" max="13328" width="9.140625" style="392"/>
    <col min="13329" max="13329" width="12.42578125" style="392" customWidth="1"/>
    <col min="13330" max="13330" width="12.28515625" style="392" customWidth="1"/>
    <col min="13331" max="13331" width="10.7109375" style="392" customWidth="1"/>
    <col min="13332" max="13332" width="12.42578125" style="392" customWidth="1"/>
    <col min="13333" max="13568" width="9.140625" style="392"/>
    <col min="13569" max="13569" width="5.5703125" style="392" customWidth="1"/>
    <col min="13570" max="13570" width="7.5703125" style="392" customWidth="1"/>
    <col min="13571" max="13571" width="17" style="392" customWidth="1"/>
    <col min="13572" max="13572" width="13.140625" style="392" customWidth="1"/>
    <col min="13573" max="13573" width="13.85546875" style="392" customWidth="1"/>
    <col min="13574" max="13574" width="13" style="392" customWidth="1"/>
    <col min="13575" max="13575" width="12.85546875" style="392" customWidth="1"/>
    <col min="13576" max="13576" width="31.42578125" style="392" customWidth="1"/>
    <col min="13577" max="13577" width="9.140625" style="392"/>
    <col min="13578" max="13578" width="8.42578125" style="392" customWidth="1"/>
    <col min="13579" max="13579" width="11.5703125" style="392" customWidth="1"/>
    <col min="13580" max="13580" width="11" style="392" customWidth="1"/>
    <col min="13581" max="13581" width="12.85546875" style="392" customWidth="1"/>
    <col min="13582" max="13582" width="11.5703125" style="392" customWidth="1"/>
    <col min="13583" max="13583" width="11.28515625" style="392" customWidth="1"/>
    <col min="13584" max="13584" width="9.140625" style="392"/>
    <col min="13585" max="13585" width="12.42578125" style="392" customWidth="1"/>
    <col min="13586" max="13586" width="12.28515625" style="392" customWidth="1"/>
    <col min="13587" max="13587" width="10.7109375" style="392" customWidth="1"/>
    <col min="13588" max="13588" width="12.42578125" style="392" customWidth="1"/>
    <col min="13589" max="13824" width="9.140625" style="392"/>
    <col min="13825" max="13825" width="5.5703125" style="392" customWidth="1"/>
    <col min="13826" max="13826" width="7.5703125" style="392" customWidth="1"/>
    <col min="13827" max="13827" width="17" style="392" customWidth="1"/>
    <col min="13828" max="13828" width="13.140625" style="392" customWidth="1"/>
    <col min="13829" max="13829" width="13.85546875" style="392" customWidth="1"/>
    <col min="13830" max="13830" width="13" style="392" customWidth="1"/>
    <col min="13831" max="13831" width="12.85546875" style="392" customWidth="1"/>
    <col min="13832" max="13832" width="31.42578125" style="392" customWidth="1"/>
    <col min="13833" max="13833" width="9.140625" style="392"/>
    <col min="13834" max="13834" width="8.42578125" style="392" customWidth="1"/>
    <col min="13835" max="13835" width="11.5703125" style="392" customWidth="1"/>
    <col min="13836" max="13836" width="11" style="392" customWidth="1"/>
    <col min="13837" max="13837" width="12.85546875" style="392" customWidth="1"/>
    <col min="13838" max="13838" width="11.5703125" style="392" customWidth="1"/>
    <col min="13839" max="13839" width="11.28515625" style="392" customWidth="1"/>
    <col min="13840" max="13840" width="9.140625" style="392"/>
    <col min="13841" max="13841" width="12.42578125" style="392" customWidth="1"/>
    <col min="13842" max="13842" width="12.28515625" style="392" customWidth="1"/>
    <col min="13843" max="13843" width="10.7109375" style="392" customWidth="1"/>
    <col min="13844" max="13844" width="12.42578125" style="392" customWidth="1"/>
    <col min="13845" max="14080" width="9.140625" style="392"/>
    <col min="14081" max="14081" width="5.5703125" style="392" customWidth="1"/>
    <col min="14082" max="14082" width="7.5703125" style="392" customWidth="1"/>
    <col min="14083" max="14083" width="17" style="392" customWidth="1"/>
    <col min="14084" max="14084" width="13.140625" style="392" customWidth="1"/>
    <col min="14085" max="14085" width="13.85546875" style="392" customWidth="1"/>
    <col min="14086" max="14086" width="13" style="392" customWidth="1"/>
    <col min="14087" max="14087" width="12.85546875" style="392" customWidth="1"/>
    <col min="14088" max="14088" width="31.42578125" style="392" customWidth="1"/>
    <col min="14089" max="14089" width="9.140625" style="392"/>
    <col min="14090" max="14090" width="8.42578125" style="392" customWidth="1"/>
    <col min="14091" max="14091" width="11.5703125" style="392" customWidth="1"/>
    <col min="14092" max="14092" width="11" style="392" customWidth="1"/>
    <col min="14093" max="14093" width="12.85546875" style="392" customWidth="1"/>
    <col min="14094" max="14094" width="11.5703125" style="392" customWidth="1"/>
    <col min="14095" max="14095" width="11.28515625" style="392" customWidth="1"/>
    <col min="14096" max="14096" width="9.140625" style="392"/>
    <col min="14097" max="14097" width="12.42578125" style="392" customWidth="1"/>
    <col min="14098" max="14098" width="12.28515625" style="392" customWidth="1"/>
    <col min="14099" max="14099" width="10.7109375" style="392" customWidth="1"/>
    <col min="14100" max="14100" width="12.42578125" style="392" customWidth="1"/>
    <col min="14101" max="14336" width="9.140625" style="392"/>
    <col min="14337" max="14337" width="5.5703125" style="392" customWidth="1"/>
    <col min="14338" max="14338" width="7.5703125" style="392" customWidth="1"/>
    <col min="14339" max="14339" width="17" style="392" customWidth="1"/>
    <col min="14340" max="14340" width="13.140625" style="392" customWidth="1"/>
    <col min="14341" max="14341" width="13.85546875" style="392" customWidth="1"/>
    <col min="14342" max="14342" width="13" style="392" customWidth="1"/>
    <col min="14343" max="14343" width="12.85546875" style="392" customWidth="1"/>
    <col min="14344" max="14344" width="31.42578125" style="392" customWidth="1"/>
    <col min="14345" max="14345" width="9.140625" style="392"/>
    <col min="14346" max="14346" width="8.42578125" style="392" customWidth="1"/>
    <col min="14347" max="14347" width="11.5703125" style="392" customWidth="1"/>
    <col min="14348" max="14348" width="11" style="392" customWidth="1"/>
    <col min="14349" max="14349" width="12.85546875" style="392" customWidth="1"/>
    <col min="14350" max="14350" width="11.5703125" style="392" customWidth="1"/>
    <col min="14351" max="14351" width="11.28515625" style="392" customWidth="1"/>
    <col min="14352" max="14352" width="9.140625" style="392"/>
    <col min="14353" max="14353" width="12.42578125" style="392" customWidth="1"/>
    <col min="14354" max="14354" width="12.28515625" style="392" customWidth="1"/>
    <col min="14355" max="14355" width="10.7109375" style="392" customWidth="1"/>
    <col min="14356" max="14356" width="12.42578125" style="392" customWidth="1"/>
    <col min="14357" max="14592" width="9.140625" style="392"/>
    <col min="14593" max="14593" width="5.5703125" style="392" customWidth="1"/>
    <col min="14594" max="14594" width="7.5703125" style="392" customWidth="1"/>
    <col min="14595" max="14595" width="17" style="392" customWidth="1"/>
    <col min="14596" max="14596" width="13.140625" style="392" customWidth="1"/>
    <col min="14597" max="14597" width="13.85546875" style="392" customWidth="1"/>
    <col min="14598" max="14598" width="13" style="392" customWidth="1"/>
    <col min="14599" max="14599" width="12.85546875" style="392" customWidth="1"/>
    <col min="14600" max="14600" width="31.42578125" style="392" customWidth="1"/>
    <col min="14601" max="14601" width="9.140625" style="392"/>
    <col min="14602" max="14602" width="8.42578125" style="392" customWidth="1"/>
    <col min="14603" max="14603" width="11.5703125" style="392" customWidth="1"/>
    <col min="14604" max="14604" width="11" style="392" customWidth="1"/>
    <col min="14605" max="14605" width="12.85546875" style="392" customWidth="1"/>
    <col min="14606" max="14606" width="11.5703125" style="392" customWidth="1"/>
    <col min="14607" max="14607" width="11.28515625" style="392" customWidth="1"/>
    <col min="14608" max="14608" width="9.140625" style="392"/>
    <col min="14609" max="14609" width="12.42578125" style="392" customWidth="1"/>
    <col min="14610" max="14610" width="12.28515625" style="392" customWidth="1"/>
    <col min="14611" max="14611" width="10.7109375" style="392" customWidth="1"/>
    <col min="14612" max="14612" width="12.42578125" style="392" customWidth="1"/>
    <col min="14613" max="14848" width="9.140625" style="392"/>
    <col min="14849" max="14849" width="5.5703125" style="392" customWidth="1"/>
    <col min="14850" max="14850" width="7.5703125" style="392" customWidth="1"/>
    <col min="14851" max="14851" width="17" style="392" customWidth="1"/>
    <col min="14852" max="14852" width="13.140625" style="392" customWidth="1"/>
    <col min="14853" max="14853" width="13.85546875" style="392" customWidth="1"/>
    <col min="14854" max="14854" width="13" style="392" customWidth="1"/>
    <col min="14855" max="14855" width="12.85546875" style="392" customWidth="1"/>
    <col min="14856" max="14856" width="31.42578125" style="392" customWidth="1"/>
    <col min="14857" max="14857" width="9.140625" style="392"/>
    <col min="14858" max="14858" width="8.42578125" style="392" customWidth="1"/>
    <col min="14859" max="14859" width="11.5703125" style="392" customWidth="1"/>
    <col min="14860" max="14860" width="11" style="392" customWidth="1"/>
    <col min="14861" max="14861" width="12.85546875" style="392" customWidth="1"/>
    <col min="14862" max="14862" width="11.5703125" style="392" customWidth="1"/>
    <col min="14863" max="14863" width="11.28515625" style="392" customWidth="1"/>
    <col min="14864" max="14864" width="9.140625" style="392"/>
    <col min="14865" max="14865" width="12.42578125" style="392" customWidth="1"/>
    <col min="14866" max="14866" width="12.28515625" style="392" customWidth="1"/>
    <col min="14867" max="14867" width="10.7109375" style="392" customWidth="1"/>
    <col min="14868" max="14868" width="12.42578125" style="392" customWidth="1"/>
    <col min="14869" max="15104" width="9.140625" style="392"/>
    <col min="15105" max="15105" width="5.5703125" style="392" customWidth="1"/>
    <col min="15106" max="15106" width="7.5703125" style="392" customWidth="1"/>
    <col min="15107" max="15107" width="17" style="392" customWidth="1"/>
    <col min="15108" max="15108" width="13.140625" style="392" customWidth="1"/>
    <col min="15109" max="15109" width="13.85546875" style="392" customWidth="1"/>
    <col min="15110" max="15110" width="13" style="392" customWidth="1"/>
    <col min="15111" max="15111" width="12.85546875" style="392" customWidth="1"/>
    <col min="15112" max="15112" width="31.42578125" style="392" customWidth="1"/>
    <col min="15113" max="15113" width="9.140625" style="392"/>
    <col min="15114" max="15114" width="8.42578125" style="392" customWidth="1"/>
    <col min="15115" max="15115" width="11.5703125" style="392" customWidth="1"/>
    <col min="15116" max="15116" width="11" style="392" customWidth="1"/>
    <col min="15117" max="15117" width="12.85546875" style="392" customWidth="1"/>
    <col min="15118" max="15118" width="11.5703125" style="392" customWidth="1"/>
    <col min="15119" max="15119" width="11.28515625" style="392" customWidth="1"/>
    <col min="15120" max="15120" width="9.140625" style="392"/>
    <col min="15121" max="15121" width="12.42578125" style="392" customWidth="1"/>
    <col min="15122" max="15122" width="12.28515625" style="392" customWidth="1"/>
    <col min="15123" max="15123" width="10.7109375" style="392" customWidth="1"/>
    <col min="15124" max="15124" width="12.42578125" style="392" customWidth="1"/>
    <col min="15125" max="15360" width="9.140625" style="392"/>
    <col min="15361" max="15361" width="5.5703125" style="392" customWidth="1"/>
    <col min="15362" max="15362" width="7.5703125" style="392" customWidth="1"/>
    <col min="15363" max="15363" width="17" style="392" customWidth="1"/>
    <col min="15364" max="15364" width="13.140625" style="392" customWidth="1"/>
    <col min="15365" max="15365" width="13.85546875" style="392" customWidth="1"/>
    <col min="15366" max="15366" width="13" style="392" customWidth="1"/>
    <col min="15367" max="15367" width="12.85546875" style="392" customWidth="1"/>
    <col min="15368" max="15368" width="31.42578125" style="392" customWidth="1"/>
    <col min="15369" max="15369" width="9.140625" style="392"/>
    <col min="15370" max="15370" width="8.42578125" style="392" customWidth="1"/>
    <col min="15371" max="15371" width="11.5703125" style="392" customWidth="1"/>
    <col min="15372" max="15372" width="11" style="392" customWidth="1"/>
    <col min="15373" max="15373" width="12.85546875" style="392" customWidth="1"/>
    <col min="15374" max="15374" width="11.5703125" style="392" customWidth="1"/>
    <col min="15375" max="15375" width="11.28515625" style="392" customWidth="1"/>
    <col min="15376" max="15376" width="9.140625" style="392"/>
    <col min="15377" max="15377" width="12.42578125" style="392" customWidth="1"/>
    <col min="15378" max="15378" width="12.28515625" style="392" customWidth="1"/>
    <col min="15379" max="15379" width="10.7109375" style="392" customWidth="1"/>
    <col min="15380" max="15380" width="12.42578125" style="392" customWidth="1"/>
    <col min="15381" max="15616" width="9.140625" style="392"/>
    <col min="15617" max="15617" width="5.5703125" style="392" customWidth="1"/>
    <col min="15618" max="15618" width="7.5703125" style="392" customWidth="1"/>
    <col min="15619" max="15619" width="17" style="392" customWidth="1"/>
    <col min="15620" max="15620" width="13.140625" style="392" customWidth="1"/>
    <col min="15621" max="15621" width="13.85546875" style="392" customWidth="1"/>
    <col min="15622" max="15622" width="13" style="392" customWidth="1"/>
    <col min="15623" max="15623" width="12.85546875" style="392" customWidth="1"/>
    <col min="15624" max="15624" width="31.42578125" style="392" customWidth="1"/>
    <col min="15625" max="15625" width="9.140625" style="392"/>
    <col min="15626" max="15626" width="8.42578125" style="392" customWidth="1"/>
    <col min="15627" max="15627" width="11.5703125" style="392" customWidth="1"/>
    <col min="15628" max="15628" width="11" style="392" customWidth="1"/>
    <col min="15629" max="15629" width="12.85546875" style="392" customWidth="1"/>
    <col min="15630" max="15630" width="11.5703125" style="392" customWidth="1"/>
    <col min="15631" max="15631" width="11.28515625" style="392" customWidth="1"/>
    <col min="15632" max="15632" width="9.140625" style="392"/>
    <col min="15633" max="15633" width="12.42578125" style="392" customWidth="1"/>
    <col min="15634" max="15634" width="12.28515625" style="392" customWidth="1"/>
    <col min="15635" max="15635" width="10.7109375" style="392" customWidth="1"/>
    <col min="15636" max="15636" width="12.42578125" style="392" customWidth="1"/>
    <col min="15637" max="15872" width="9.140625" style="392"/>
    <col min="15873" max="15873" width="5.5703125" style="392" customWidth="1"/>
    <col min="15874" max="15874" width="7.5703125" style="392" customWidth="1"/>
    <col min="15875" max="15875" width="17" style="392" customWidth="1"/>
    <col min="15876" max="15876" width="13.140625" style="392" customWidth="1"/>
    <col min="15877" max="15877" width="13.85546875" style="392" customWidth="1"/>
    <col min="15878" max="15878" width="13" style="392" customWidth="1"/>
    <col min="15879" max="15879" width="12.85546875" style="392" customWidth="1"/>
    <col min="15880" max="15880" width="31.42578125" style="392" customWidth="1"/>
    <col min="15881" max="15881" width="9.140625" style="392"/>
    <col min="15882" max="15882" width="8.42578125" style="392" customWidth="1"/>
    <col min="15883" max="15883" width="11.5703125" style="392" customWidth="1"/>
    <col min="15884" max="15884" width="11" style="392" customWidth="1"/>
    <col min="15885" max="15885" width="12.85546875" style="392" customWidth="1"/>
    <col min="15886" max="15886" width="11.5703125" style="392" customWidth="1"/>
    <col min="15887" max="15887" width="11.28515625" style="392" customWidth="1"/>
    <col min="15888" max="15888" width="9.140625" style="392"/>
    <col min="15889" max="15889" width="12.42578125" style="392" customWidth="1"/>
    <col min="15890" max="15890" width="12.28515625" style="392" customWidth="1"/>
    <col min="15891" max="15891" width="10.7109375" style="392" customWidth="1"/>
    <col min="15892" max="15892" width="12.42578125" style="392" customWidth="1"/>
    <col min="15893" max="16128" width="9.140625" style="392"/>
    <col min="16129" max="16129" width="5.5703125" style="392" customWidth="1"/>
    <col min="16130" max="16130" width="7.5703125" style="392" customWidth="1"/>
    <col min="16131" max="16131" width="17" style="392" customWidth="1"/>
    <col min="16132" max="16132" width="13.140625" style="392" customWidth="1"/>
    <col min="16133" max="16133" width="13.85546875" style="392" customWidth="1"/>
    <col min="16134" max="16134" width="13" style="392" customWidth="1"/>
    <col min="16135" max="16135" width="12.85546875" style="392" customWidth="1"/>
    <col min="16136" max="16136" width="31.42578125" style="392" customWidth="1"/>
    <col min="16137" max="16137" width="9.140625" style="392"/>
    <col min="16138" max="16138" width="8.42578125" style="392" customWidth="1"/>
    <col min="16139" max="16139" width="11.5703125" style="392" customWidth="1"/>
    <col min="16140" max="16140" width="11" style="392" customWidth="1"/>
    <col min="16141" max="16141" width="12.85546875" style="392" customWidth="1"/>
    <col min="16142" max="16142" width="11.5703125" style="392" customWidth="1"/>
    <col min="16143" max="16143" width="11.28515625" style="392" customWidth="1"/>
    <col min="16144" max="16144" width="9.140625" style="392"/>
    <col min="16145" max="16145" width="12.42578125" style="392" customWidth="1"/>
    <col min="16146" max="16146" width="12.28515625" style="392" customWidth="1"/>
    <col min="16147" max="16147" width="10.7109375" style="392" customWidth="1"/>
    <col min="16148" max="16148" width="12.42578125" style="392" customWidth="1"/>
    <col min="16149" max="16384" width="9.140625" style="392"/>
  </cols>
  <sheetData>
    <row r="1" spans="1:18" s="396" customFormat="1" ht="12.75" customHeight="1" x14ac:dyDescent="0.2">
      <c r="A1" s="392"/>
      <c r="B1" s="393"/>
      <c r="C1" s="394"/>
      <c r="D1" s="395"/>
      <c r="E1" s="392"/>
      <c r="F1" s="395"/>
      <c r="G1" s="392"/>
      <c r="H1" s="392"/>
    </row>
    <row r="2" spans="1:18" ht="15.75" customHeight="1" x14ac:dyDescent="0.25">
      <c r="B2" s="626" t="s">
        <v>565</v>
      </c>
      <c r="C2" s="626"/>
      <c r="D2" s="626"/>
      <c r="E2" s="626"/>
      <c r="F2" s="626"/>
      <c r="G2" s="626"/>
      <c r="H2" s="626"/>
    </row>
    <row r="4" spans="1:18" ht="12.75" customHeight="1" x14ac:dyDescent="0.2">
      <c r="B4" s="397"/>
      <c r="C4" s="398"/>
      <c r="D4" s="399"/>
      <c r="E4" s="399"/>
      <c r="F4" s="399"/>
      <c r="G4" s="400"/>
      <c r="H4" s="401"/>
    </row>
    <row r="5" spans="1:18" ht="12.75" customHeight="1" x14ac:dyDescent="0.2">
      <c r="B5" s="402"/>
      <c r="C5" s="403" t="s">
        <v>566</v>
      </c>
      <c r="G5" s="404"/>
      <c r="H5" s="405"/>
      <c r="J5" s="403"/>
      <c r="K5" s="406"/>
      <c r="L5" s="407"/>
      <c r="M5" s="408"/>
    </row>
    <row r="6" spans="1:18" x14ac:dyDescent="0.2">
      <c r="B6" s="402"/>
      <c r="C6" s="409" t="s">
        <v>5</v>
      </c>
      <c r="D6" s="410">
        <f>9*2.54*10</f>
        <v>228.6</v>
      </c>
      <c r="H6" s="411"/>
    </row>
    <row r="7" spans="1:18" ht="12.75" customHeight="1" x14ac:dyDescent="0.2">
      <c r="B7" s="402"/>
      <c r="C7" s="409" t="s">
        <v>532</v>
      </c>
      <c r="D7" s="410">
        <f>14*2.54*10</f>
        <v>355.6</v>
      </c>
      <c r="F7" s="409" t="s">
        <v>22</v>
      </c>
      <c r="G7" s="412">
        <f>D8+D66+D30/2</f>
        <v>31</v>
      </c>
      <c r="H7" s="413" t="s">
        <v>567</v>
      </c>
      <c r="Q7" s="414"/>
      <c r="R7" s="415"/>
    </row>
    <row r="8" spans="1:18" ht="12.75" customHeight="1" x14ac:dyDescent="0.2">
      <c r="B8" s="402"/>
      <c r="C8" s="416" t="s">
        <v>568</v>
      </c>
      <c r="D8" s="410">
        <v>15</v>
      </c>
      <c r="E8" s="417"/>
      <c r="F8" s="409" t="s">
        <v>569</v>
      </c>
      <c r="G8" s="412">
        <f>D7-G7</f>
        <v>324.60000000000002</v>
      </c>
      <c r="H8" s="413" t="s">
        <v>570</v>
      </c>
      <c r="Q8" s="414"/>
      <c r="R8" s="415"/>
    </row>
    <row r="9" spans="1:18" ht="12.75" customHeight="1" x14ac:dyDescent="0.2">
      <c r="B9" s="402"/>
      <c r="H9" s="411"/>
    </row>
    <row r="10" spans="1:18" ht="12.75" customHeight="1" x14ac:dyDescent="0.2">
      <c r="B10" s="402"/>
      <c r="C10" s="403" t="s">
        <v>571</v>
      </c>
      <c r="H10" s="411"/>
    </row>
    <row r="11" spans="1:18" ht="14.25" customHeight="1" x14ac:dyDescent="0.2">
      <c r="B11" s="402"/>
      <c r="C11" s="409" t="s">
        <v>50</v>
      </c>
      <c r="D11" s="418">
        <v>20</v>
      </c>
      <c r="H11" s="411"/>
      <c r="M11" s="419"/>
      <c r="Q11" s="419"/>
    </row>
    <row r="12" spans="1:18" ht="12.75" customHeight="1" x14ac:dyDescent="0.2">
      <c r="B12" s="402"/>
      <c r="C12" s="409" t="s">
        <v>572</v>
      </c>
      <c r="D12" s="418">
        <v>500</v>
      </c>
      <c r="F12" s="420"/>
      <c r="H12" s="411"/>
      <c r="J12" s="421" t="s">
        <v>573</v>
      </c>
      <c r="K12" s="422"/>
      <c r="L12" s="422"/>
      <c r="M12" s="422"/>
      <c r="N12" s="422"/>
      <c r="O12" s="422"/>
      <c r="P12" s="423"/>
      <c r="Q12" s="423"/>
      <c r="R12" s="424"/>
    </row>
    <row r="13" spans="1:18" ht="12.75" customHeight="1" x14ac:dyDescent="0.2">
      <c r="B13" s="402"/>
      <c r="E13" s="392" t="s">
        <v>574</v>
      </c>
      <c r="H13" s="411"/>
      <c r="J13" s="425"/>
      <c r="P13" s="426"/>
      <c r="Q13" s="426"/>
      <c r="R13" s="427"/>
    </row>
    <row r="14" spans="1:18" ht="14.25" customHeight="1" x14ac:dyDescent="0.2">
      <c r="B14" s="402"/>
      <c r="C14" s="428" t="s">
        <v>575</v>
      </c>
      <c r="D14" s="429">
        <v>46.64</v>
      </c>
      <c r="F14" s="409" t="s">
        <v>576</v>
      </c>
      <c r="G14" s="430">
        <f>(D14*1000000)/(D6*G8*G8)</f>
        <v>1.9363563528768215</v>
      </c>
      <c r="H14" s="427"/>
      <c r="J14" s="425"/>
      <c r="P14" s="426"/>
      <c r="Q14" s="426"/>
      <c r="R14" s="427"/>
    </row>
    <row r="15" spans="1:18" ht="12.75" customHeight="1" x14ac:dyDescent="0.2">
      <c r="B15" s="402"/>
      <c r="F15" s="409" t="s">
        <v>16</v>
      </c>
      <c r="G15" s="431">
        <f>(700/(1100+(0.87*D12)))*G8</f>
        <v>148.02605863192184</v>
      </c>
      <c r="H15" s="413" t="s">
        <v>180</v>
      </c>
      <c r="J15" s="425"/>
      <c r="M15" s="432" t="s">
        <v>577</v>
      </c>
      <c r="R15" s="427"/>
    </row>
    <row r="16" spans="1:18" ht="12.75" customHeight="1" x14ac:dyDescent="0.2">
      <c r="B16" s="402"/>
      <c r="F16" s="409" t="s">
        <v>578</v>
      </c>
      <c r="G16" s="431">
        <f>((0.36*D11*D6*G15*(G8-(0.416*G15))))/1000000</f>
        <v>64.082225568441544</v>
      </c>
      <c r="H16" s="413" t="s">
        <v>183</v>
      </c>
      <c r="J16" s="425"/>
      <c r="M16" s="433">
        <f>IF(D12=250,(IF(D11=15,4.4,IF(D11=20,5.15,IF(D11=25,5.9,IF(D11=30,6.65))))),IF(D12=415,(IF(D11=15,6.4,IF(D11=20,7.1,IF(D11=25,7.8,IF(D11=30,8.5))))),IF(D12=500,(IF(D11=15,6.4,IF(D11=20,7,IF(D11=25,7.7,IF(D11=30,8.3))))))))</f>
        <v>7</v>
      </c>
      <c r="R16" s="427"/>
    </row>
    <row r="17" spans="2:19" ht="12.75" customHeight="1" x14ac:dyDescent="0.2">
      <c r="B17" s="402"/>
      <c r="F17" s="409" t="s">
        <v>579</v>
      </c>
      <c r="G17" s="430">
        <f>(G16*1000000)/(D6*G8*G8)</f>
        <v>2.6605065305732691</v>
      </c>
      <c r="H17" s="413"/>
      <c r="J17" s="425"/>
      <c r="R17" s="427"/>
    </row>
    <row r="18" spans="2:19" ht="12.75" customHeight="1" x14ac:dyDescent="0.2">
      <c r="B18" s="402"/>
      <c r="H18" s="411"/>
      <c r="J18" s="425"/>
      <c r="K18" s="419" t="s">
        <v>9</v>
      </c>
      <c r="L18" s="419"/>
      <c r="M18" s="419"/>
      <c r="N18" s="419"/>
      <c r="O18" s="419" t="s">
        <v>580</v>
      </c>
      <c r="P18" s="420"/>
      <c r="R18" s="427"/>
    </row>
    <row r="19" spans="2:19" ht="12.75" customHeight="1" x14ac:dyDescent="0.2">
      <c r="B19" s="402"/>
      <c r="C19" s="434" t="str">
        <f>IF(G14&gt;M16,"",IF(D14&lt;G16,"Beam is designed as Singly Reinforced Beam","Beam is designed as Doubly Reinforced Beam"))</f>
        <v>Beam is designed as Singly Reinforced Beam</v>
      </c>
      <c r="D19" s="408"/>
      <c r="E19" s="408"/>
      <c r="H19" s="411"/>
      <c r="J19" s="425"/>
      <c r="K19" s="435" t="s">
        <v>2</v>
      </c>
      <c r="L19" s="436">
        <f>(0.87435*D12*D12)/(D11*10000)</f>
        <v>1.0929374999999999</v>
      </c>
      <c r="M19" s="437" t="s">
        <v>581</v>
      </c>
      <c r="N19" s="406"/>
      <c r="O19" s="435" t="s">
        <v>2</v>
      </c>
      <c r="P19" s="436">
        <f>(0.87435*D12*D12)/(D11*10000)</f>
        <v>1.0929374999999999</v>
      </c>
      <c r="Q19" s="437" t="s">
        <v>581</v>
      </c>
      <c r="R19" s="427"/>
    </row>
    <row r="20" spans="2:19" ht="12.75" customHeight="1" x14ac:dyDescent="0.25">
      <c r="B20" s="402"/>
      <c r="C20" s="434" t="str">
        <f>IF(G14&gt;M16,"",IF(N39&lt;N36,"","Minimum % of Steel as per IS 456 clause 26.5.1.1 required"))</f>
        <v/>
      </c>
      <c r="D20" s="408"/>
      <c r="E20" s="408"/>
      <c r="F20" s="438"/>
      <c r="H20" s="411"/>
      <c r="J20" s="425"/>
      <c r="K20" s="439" t="s">
        <v>0</v>
      </c>
      <c r="L20" s="440">
        <f>-(0.87*D12)/100</f>
        <v>-4.3499999999999996</v>
      </c>
      <c r="M20" s="437" t="s">
        <v>181</v>
      </c>
      <c r="O20" s="439" t="s">
        <v>0</v>
      </c>
      <c r="P20" s="440">
        <f>-(0.87*D12)/100</f>
        <v>-4.3499999999999996</v>
      </c>
      <c r="Q20" s="437" t="s">
        <v>181</v>
      </c>
      <c r="R20" s="427"/>
    </row>
    <row r="21" spans="2:19" ht="12.75" customHeight="1" x14ac:dyDescent="0.2">
      <c r="B21" s="402"/>
      <c r="D21" s="408"/>
      <c r="E21" s="408"/>
      <c r="F21" s="438"/>
      <c r="H21" s="411"/>
      <c r="J21" s="425"/>
      <c r="K21" s="439" t="s">
        <v>3</v>
      </c>
      <c r="L21" s="440">
        <f>(D14*1000000)/(D6*G8*G8)</f>
        <v>1.9363563528768215</v>
      </c>
      <c r="M21" s="437" t="s">
        <v>582</v>
      </c>
      <c r="O21" s="439" t="s">
        <v>3</v>
      </c>
      <c r="P21" s="440">
        <f>(G16*1000000)/(D6*G8*G8)</f>
        <v>2.6605065305732691</v>
      </c>
      <c r="Q21" s="437" t="s">
        <v>583</v>
      </c>
      <c r="R21" s="427"/>
      <c r="S21" s="414"/>
    </row>
    <row r="22" spans="2:19" ht="12.75" customHeight="1" x14ac:dyDescent="0.2">
      <c r="B22" s="402"/>
      <c r="C22" s="441" t="s">
        <v>6</v>
      </c>
      <c r="D22" s="442" t="s">
        <v>584</v>
      </c>
      <c r="E22" s="443" t="s">
        <v>585</v>
      </c>
      <c r="H22" s="411"/>
      <c r="J22" s="425"/>
      <c r="K22" s="444" t="s">
        <v>4</v>
      </c>
      <c r="L22" s="440">
        <f>(-L20-SQRT((L20*L20)-(4*L19*L21)))/(2*L19)</f>
        <v>0.5106583419425621</v>
      </c>
      <c r="M22" s="437" t="s">
        <v>586</v>
      </c>
      <c r="O22" s="444" t="s">
        <v>4</v>
      </c>
      <c r="P22" s="440">
        <f>(-P20-(SQRT((P20*P20)-(4*P19*P21))))/(2*P19)</f>
        <v>0.75472526640616378</v>
      </c>
      <c r="Q22" s="437" t="s">
        <v>586</v>
      </c>
      <c r="R22" s="427"/>
    </row>
    <row r="23" spans="2:19" ht="12.75" customHeight="1" x14ac:dyDescent="0.2">
      <c r="B23" s="402"/>
      <c r="C23" s="445" t="s">
        <v>587</v>
      </c>
      <c r="D23" s="446">
        <f>IF(G14&gt;M16,"",(D24*100/(D6*G8)))</f>
        <v>0.5106583419425621</v>
      </c>
      <c r="E23" s="446" t="str">
        <f>IF(G14&gt;M16,"",IF(C19="Beam is designed as Singly Reinforced Beam","-------",(E24*100/(D6*G8))))</f>
        <v>-------</v>
      </c>
      <c r="G23" s="447" t="str">
        <f>IF(G14&gt;M16,"",IF(D14&lt;G16,"Refer Table 2 SP 16 pg 48","Refer Table 45-56 SP 16 pg 81-92"))</f>
        <v>Refer Table 2 SP 16 pg 48</v>
      </c>
      <c r="H23" s="427"/>
      <c r="J23" s="425"/>
      <c r="K23" s="448" t="s">
        <v>1</v>
      </c>
      <c r="L23" s="449">
        <f>(L22*D6*G8)/100</f>
        <v>378.92666915835417</v>
      </c>
      <c r="M23" s="437" t="s">
        <v>182</v>
      </c>
      <c r="O23" s="448" t="s">
        <v>588</v>
      </c>
      <c r="P23" s="449">
        <f>(P22*D6*G8)/100</f>
        <v>560.03301589285763</v>
      </c>
      <c r="Q23" s="437" t="s">
        <v>182</v>
      </c>
      <c r="R23" s="450"/>
    </row>
    <row r="24" spans="2:19" ht="12.75" customHeight="1" x14ac:dyDescent="0.2">
      <c r="B24" s="402"/>
      <c r="C24" s="445" t="s">
        <v>6</v>
      </c>
      <c r="D24" s="451">
        <f>IF(G14&gt;M16,"",N42)</f>
        <v>378.92666915835417</v>
      </c>
      <c r="E24" s="451" t="str">
        <f>IF(G14&gt;M16,"",N43)</f>
        <v/>
      </c>
      <c r="H24" s="411"/>
      <c r="J24" s="425"/>
      <c r="R24" s="427"/>
    </row>
    <row r="25" spans="2:19" ht="12.75" customHeight="1" x14ac:dyDescent="0.2">
      <c r="B25" s="402"/>
      <c r="H25" s="411"/>
      <c r="J25" s="425"/>
      <c r="R25" s="427"/>
    </row>
    <row r="26" spans="2:19" ht="12.75" customHeight="1" x14ac:dyDescent="0.2">
      <c r="B26" s="402"/>
      <c r="C26" s="452" t="str">
        <f>IF(D7&lt;750,"","Side Face bars are required")</f>
        <v/>
      </c>
      <c r="E26" s="453"/>
      <c r="F26" s="395"/>
      <c r="H26" s="411"/>
      <c r="J26" s="425"/>
      <c r="O26" s="397" t="s">
        <v>589</v>
      </c>
      <c r="P26" s="454">
        <f>D14-G16</f>
        <v>-17.442225568441543</v>
      </c>
      <c r="Q26" s="437" t="s">
        <v>590</v>
      </c>
      <c r="R26" s="427"/>
    </row>
    <row r="27" spans="2:19" ht="12.75" customHeight="1" x14ac:dyDescent="0.2">
      <c r="B27" s="402"/>
      <c r="H27" s="411"/>
      <c r="J27" s="455"/>
      <c r="O27" s="402" t="s">
        <v>591</v>
      </c>
      <c r="P27" s="454">
        <f>(P26*1000000)/((0.87*D12)*(G8-G7))</f>
        <v>-136.57040283473913</v>
      </c>
      <c r="Q27" s="437" t="s">
        <v>592</v>
      </c>
      <c r="R27" s="427"/>
    </row>
    <row r="28" spans="2:19" ht="12.75" customHeight="1" x14ac:dyDescent="0.2">
      <c r="B28" s="402"/>
      <c r="C28" s="403" t="s">
        <v>512</v>
      </c>
      <c r="G28" s="419" t="s">
        <v>593</v>
      </c>
      <c r="H28" s="411"/>
      <c r="J28" s="425"/>
      <c r="O28" s="448" t="s">
        <v>1</v>
      </c>
      <c r="P28" s="454">
        <f>P23+P27</f>
        <v>423.46261305811851</v>
      </c>
      <c r="Q28" s="437" t="s">
        <v>594</v>
      </c>
      <c r="R28" s="427"/>
    </row>
    <row r="29" spans="2:19" ht="12.75" customHeight="1" x14ac:dyDescent="0.2">
      <c r="B29" s="402"/>
      <c r="C29" s="456" t="s">
        <v>10</v>
      </c>
      <c r="D29" s="456" t="s">
        <v>595</v>
      </c>
      <c r="E29" s="456" t="s">
        <v>596</v>
      </c>
      <c r="F29" s="456" t="s">
        <v>6</v>
      </c>
      <c r="G29" s="457"/>
      <c r="H29" s="411"/>
      <c r="J29" s="425"/>
      <c r="R29" s="427"/>
    </row>
    <row r="30" spans="2:19" ht="12.75" customHeight="1" x14ac:dyDescent="0.2">
      <c r="B30" s="402"/>
      <c r="C30" s="399" t="s">
        <v>597</v>
      </c>
      <c r="D30" s="458">
        <v>16</v>
      </c>
      <c r="E30" s="459">
        <v>4</v>
      </c>
      <c r="F30" s="460">
        <f>IF(G14&gt;M16,"",IF(D30="-","",(PI()/4)*(D30^2)*(E30)))</f>
        <v>804.24771931898704</v>
      </c>
      <c r="H30" s="411"/>
      <c r="J30" s="425"/>
      <c r="M30" s="461">
        <f>G7/G8</f>
        <v>9.5502156500308064E-2</v>
      </c>
      <c r="O30" s="462" t="s">
        <v>541</v>
      </c>
      <c r="P30" s="463">
        <f>M31</f>
        <v>0.1</v>
      </c>
      <c r="R30" s="427"/>
    </row>
    <row r="31" spans="2:19" ht="12.75" customHeight="1" x14ac:dyDescent="0.2">
      <c r="B31" s="402"/>
      <c r="C31" s="392" t="s">
        <v>598</v>
      </c>
      <c r="D31" s="458" t="s">
        <v>602</v>
      </c>
      <c r="E31" s="459">
        <v>0</v>
      </c>
      <c r="F31" s="464" t="str">
        <f>IF(G14&gt;M16,"",IF(D31="-","",(PI()/4)*(D31^2)*(E31)))</f>
        <v/>
      </c>
      <c r="G31" s="465"/>
      <c r="H31" s="411"/>
      <c r="J31" s="425"/>
      <c r="M31" s="466">
        <f>IF(M30&lt;=0.05,0.05,IF(M30&lt;=0.1,0.1,IF(M30&lt;=0.15,0.15,IF(M30&lt;=0.2,0.2))))</f>
        <v>0.1</v>
      </c>
      <c r="O31" s="425" t="s">
        <v>599</v>
      </c>
      <c r="P31" s="454">
        <f>IF(D12=250,(0.87*D12),IF(D12=415,(IF(P30=0.05,355,IF(P30=0.1,353,IF(P30=0.15,342,IF(P30=0.2,329))))),IF(D12=500,IF(P30=0.05,424,IF(P30=0.1,412,IF(P30=0.15,395,IF(P30=0.2,370)))))))</f>
        <v>412</v>
      </c>
      <c r="Q31" s="437" t="s">
        <v>600</v>
      </c>
      <c r="R31" s="427"/>
    </row>
    <row r="32" spans="2:19" ht="12.75" customHeight="1" x14ac:dyDescent="0.2">
      <c r="B32" s="402"/>
      <c r="C32" s="467" t="s">
        <v>601</v>
      </c>
      <c r="D32" s="458" t="s">
        <v>602</v>
      </c>
      <c r="E32" s="459">
        <v>0</v>
      </c>
      <c r="F32" s="468" t="str">
        <f>IF(G14&gt;M16,"",IF(D32="-","",(PI()/4)*(D32^2)*(E32)))</f>
        <v/>
      </c>
      <c r="G32" s="465"/>
      <c r="H32" s="411"/>
      <c r="J32" s="425"/>
      <c r="O32" s="425" t="s">
        <v>603</v>
      </c>
      <c r="P32" s="469">
        <f>0.446*D11</f>
        <v>8.92</v>
      </c>
      <c r="Q32" s="437" t="s">
        <v>604</v>
      </c>
      <c r="R32" s="427"/>
    </row>
    <row r="33" spans="2:18" ht="12.75" customHeight="1" x14ac:dyDescent="0.2">
      <c r="B33" s="402"/>
      <c r="C33" s="625" t="s">
        <v>605</v>
      </c>
      <c r="D33" s="625"/>
      <c r="E33" s="625"/>
      <c r="F33" s="470">
        <f>IF(G14&gt;M16,"",SUM(F30:F32))</f>
        <v>804.24771931898704</v>
      </c>
      <c r="G33" s="471">
        <f>IF(G14&gt;M16,"",(F33*100/(D6*G8)))</f>
        <v>1.0838398040727253</v>
      </c>
      <c r="H33" s="411"/>
      <c r="J33" s="425"/>
      <c r="K33" s="471"/>
      <c r="O33" s="472" t="s">
        <v>606</v>
      </c>
      <c r="P33" s="454">
        <f>(P26*1000000)/((P31-P32)*(G8-G7))</f>
        <v>-147.38544515508465</v>
      </c>
      <c r="Q33" s="437" t="s">
        <v>607</v>
      </c>
      <c r="R33" s="427"/>
    </row>
    <row r="34" spans="2:18" ht="12.75" customHeight="1" x14ac:dyDescent="0.2">
      <c r="B34" s="402"/>
      <c r="C34" s="627" t="str">
        <f>IF(G14&gt;M16,"",IF(G14&gt;M16,"",IF(G33&gt;=4,"Steel provided cannot be more than 4% of cross section area.",IF(F33&gt;D24,"Provided Steel OK","Provided Steel Insufficient"))))</f>
        <v>Provided Steel OK</v>
      </c>
      <c r="D34" s="627"/>
      <c r="E34" s="627"/>
      <c r="F34" s="627"/>
      <c r="G34" s="627"/>
      <c r="H34" s="411"/>
      <c r="J34" s="425"/>
      <c r="R34" s="427"/>
    </row>
    <row r="35" spans="2:18" ht="12.75" customHeight="1" x14ac:dyDescent="0.2">
      <c r="B35" s="402"/>
      <c r="C35" s="627"/>
      <c r="D35" s="627"/>
      <c r="E35" s="627"/>
      <c r="F35" s="627"/>
      <c r="G35" s="627"/>
      <c r="H35" s="411"/>
      <c r="J35" s="425"/>
      <c r="M35" s="462" t="s">
        <v>15</v>
      </c>
      <c r="N35" s="473">
        <f>(0.85*100)/D12</f>
        <v>0.17</v>
      </c>
      <c r="O35" s="437" t="s">
        <v>608</v>
      </c>
      <c r="R35" s="427"/>
    </row>
    <row r="36" spans="2:18" ht="12.75" customHeight="1" x14ac:dyDescent="0.2">
      <c r="B36" s="402"/>
      <c r="C36" s="395"/>
      <c r="D36" s="395"/>
      <c r="E36" s="395"/>
      <c r="F36" s="474"/>
      <c r="G36" s="475"/>
      <c r="H36" s="411"/>
      <c r="J36" s="425"/>
      <c r="M36" s="425" t="s">
        <v>1</v>
      </c>
      <c r="N36" s="454">
        <f>IF(D14&lt;G16,L23,P28)</f>
        <v>378.92666915835417</v>
      </c>
      <c r="O36" s="437"/>
      <c r="R36" s="427"/>
    </row>
    <row r="37" spans="2:18" ht="12.75" customHeight="1" x14ac:dyDescent="0.2">
      <c r="B37" s="402"/>
      <c r="C37" s="403" t="s">
        <v>513</v>
      </c>
      <c r="D37" s="395"/>
      <c r="E37" s="395"/>
      <c r="F37" s="474"/>
      <c r="G37" s="475"/>
      <c r="H37" s="411"/>
      <c r="J37" s="425"/>
      <c r="M37" s="476" t="s">
        <v>606</v>
      </c>
      <c r="N37" s="454">
        <f>P33</f>
        <v>-147.38544515508465</v>
      </c>
      <c r="O37" s="437"/>
      <c r="R37" s="427"/>
    </row>
    <row r="38" spans="2:18" ht="12.75" customHeight="1" x14ac:dyDescent="0.2">
      <c r="B38" s="402"/>
      <c r="C38" s="456" t="s">
        <v>10</v>
      </c>
      <c r="D38" s="456" t="s">
        <v>595</v>
      </c>
      <c r="E38" s="456" t="s">
        <v>596</v>
      </c>
      <c r="F38" s="456" t="s">
        <v>6</v>
      </c>
      <c r="G38" s="457"/>
      <c r="H38" s="411"/>
      <c r="J38" s="425"/>
      <c r="M38" s="402"/>
      <c r="N38" s="411"/>
      <c r="O38" s="437"/>
      <c r="R38" s="427"/>
    </row>
    <row r="39" spans="2:18" ht="12.75" customHeight="1" x14ac:dyDescent="0.2">
      <c r="B39" s="402"/>
      <c r="C39" s="392" t="s">
        <v>597</v>
      </c>
      <c r="D39" s="458">
        <v>16</v>
      </c>
      <c r="E39" s="459">
        <v>4</v>
      </c>
      <c r="F39" s="464" t="str">
        <f>IF(E24="","",IF(G14&gt;M16,"",IF(D39="-","",(PI()/4)*(D39^2)*(E39))))</f>
        <v/>
      </c>
      <c r="G39" s="475"/>
      <c r="H39" s="477"/>
      <c r="J39" s="425"/>
      <c r="M39" s="462" t="s">
        <v>7</v>
      </c>
      <c r="N39" s="454">
        <f>(0.85*D6*G8)/D12</f>
        <v>126.14605200000001</v>
      </c>
      <c r="O39" s="437" t="s">
        <v>609</v>
      </c>
      <c r="R39" s="427"/>
    </row>
    <row r="40" spans="2:18" ht="12.75" customHeight="1" x14ac:dyDescent="0.2">
      <c r="B40" s="402"/>
      <c r="C40" s="392" t="s">
        <v>598</v>
      </c>
      <c r="D40" s="458" t="s">
        <v>602</v>
      </c>
      <c r="E40" s="459"/>
      <c r="F40" s="464" t="str">
        <f>IF(E24="","",IF(G14&gt;M16,"",IF(D40="-","",(PI()/4)*(D40^2)*(E40))))</f>
        <v/>
      </c>
      <c r="G40" s="475"/>
      <c r="H40" s="411"/>
      <c r="J40" s="425"/>
      <c r="M40" s="476" t="s">
        <v>8</v>
      </c>
      <c r="N40" s="469">
        <f>0.04*D6*G8</f>
        <v>2968.1424000000002</v>
      </c>
      <c r="O40" s="437" t="s">
        <v>610</v>
      </c>
      <c r="R40" s="427"/>
    </row>
    <row r="41" spans="2:18" ht="12.75" customHeight="1" x14ac:dyDescent="0.2">
      <c r="B41" s="402"/>
      <c r="C41" s="392" t="s">
        <v>601</v>
      </c>
      <c r="D41" s="458"/>
      <c r="E41" s="459"/>
      <c r="F41" s="464" t="str">
        <f>IF(E24="","",IF(G14&gt;M16,"",IF(D41="-","",(PI()/4)*(D41^2)*(E41))))</f>
        <v/>
      </c>
      <c r="G41" s="475"/>
      <c r="H41" s="411"/>
      <c r="J41" s="425"/>
      <c r="M41" s="402"/>
      <c r="N41" s="411"/>
      <c r="R41" s="427"/>
    </row>
    <row r="42" spans="2:18" ht="12.75" customHeight="1" x14ac:dyDescent="0.2">
      <c r="B42" s="402"/>
      <c r="C42" s="625" t="s">
        <v>605</v>
      </c>
      <c r="D42" s="625"/>
      <c r="E42" s="625"/>
      <c r="F42" s="470" t="str">
        <f>IF(E24="","",IF(G14&gt;M16,"",SUM(F39:F41)))</f>
        <v/>
      </c>
      <c r="G42" s="471" t="e">
        <f>IF(G14&gt;M16,"",IF(E24&gt;0,(F42*100/(D6*G8)),""))</f>
        <v>#VALUE!</v>
      </c>
      <c r="H42" s="411"/>
      <c r="J42" s="425"/>
      <c r="M42" s="462" t="s">
        <v>1</v>
      </c>
      <c r="N42" s="454">
        <f>IF(N36&gt;N39,N36,N39)</f>
        <v>378.92666915835417</v>
      </c>
      <c r="R42" s="427"/>
    </row>
    <row r="43" spans="2:18" ht="12.75" customHeight="1" x14ac:dyDescent="0.2">
      <c r="B43" s="402"/>
      <c r="C43" s="627" t="str">
        <f>IF(E24="","",IF(G14&gt;M16,"",IF(G42&gt;=4,"Steel provided cannot be more than 4% of cross section area.",IF(F42&gt;E24,"Provided Steel OK","Provided Steel Insufficient"))))</f>
        <v/>
      </c>
      <c r="D43" s="627"/>
      <c r="E43" s="627"/>
      <c r="F43" s="627"/>
      <c r="G43" s="627"/>
      <c r="H43" s="411"/>
      <c r="J43" s="425"/>
      <c r="M43" s="472" t="s">
        <v>606</v>
      </c>
      <c r="N43" s="454" t="str">
        <f>IF(D14&lt;G16,"",N37)</f>
        <v/>
      </c>
      <c r="R43" s="427"/>
    </row>
    <row r="44" spans="2:18" ht="15" customHeight="1" x14ac:dyDescent="0.2">
      <c r="B44" s="448"/>
      <c r="C44" s="478"/>
      <c r="D44" s="478"/>
      <c r="E44" s="478"/>
      <c r="F44" s="478"/>
      <c r="G44" s="479"/>
      <c r="H44" s="480"/>
      <c r="J44" s="425"/>
      <c r="R44" s="427"/>
    </row>
    <row r="45" spans="2:18" ht="12.75" customHeight="1" x14ac:dyDescent="0.2">
      <c r="C45" s="481"/>
      <c r="D45" s="481"/>
      <c r="E45" s="481"/>
      <c r="F45" s="481"/>
      <c r="G45" s="482"/>
      <c r="J45" s="476"/>
      <c r="K45" s="483"/>
      <c r="L45" s="483"/>
      <c r="M45" s="483"/>
      <c r="N45" s="483"/>
      <c r="O45" s="483"/>
      <c r="P45" s="483"/>
      <c r="Q45" s="483"/>
      <c r="R45" s="484"/>
    </row>
    <row r="46" spans="2:18" ht="12.75" customHeight="1" x14ac:dyDescent="0.2">
      <c r="B46" s="397"/>
      <c r="C46" s="485"/>
      <c r="D46" s="485"/>
      <c r="E46" s="485"/>
      <c r="F46" s="485"/>
      <c r="G46" s="485"/>
      <c r="H46" s="486"/>
    </row>
    <row r="47" spans="2:18" ht="12.75" customHeight="1" x14ac:dyDescent="0.2">
      <c r="B47" s="402"/>
      <c r="C47" s="403" t="s">
        <v>611</v>
      </c>
      <c r="D47" s="487">
        <v>200</v>
      </c>
      <c r="H47" s="411"/>
      <c r="J47" s="421" t="s">
        <v>612</v>
      </c>
      <c r="K47" s="422"/>
      <c r="L47" s="422"/>
      <c r="M47" s="422"/>
      <c r="N47" s="422"/>
      <c r="O47" s="422"/>
      <c r="P47" s="422"/>
      <c r="Q47" s="422"/>
      <c r="R47" s="424"/>
    </row>
    <row r="48" spans="2:18" ht="12.75" customHeight="1" x14ac:dyDescent="0.2">
      <c r="B48" s="402"/>
      <c r="C48" s="403" t="str">
        <f>IF(D12=500,"","ζv")</f>
        <v/>
      </c>
      <c r="D48" s="488" t="str">
        <f>IF(D12=500,"",IF(G14&gt;M16,"",(D47*1000)/(D6*G8)))</f>
        <v/>
      </c>
      <c r="E48" s="407" t="s">
        <v>613</v>
      </c>
      <c r="H48" s="411"/>
      <c r="J48" s="425"/>
      <c r="R48" s="427"/>
    </row>
    <row r="49" spans="2:20" ht="12.75" customHeight="1" x14ac:dyDescent="0.2">
      <c r="B49" s="402"/>
      <c r="C49" s="403" t="str">
        <f>IF(D12=500,"","ζc")</f>
        <v/>
      </c>
      <c r="D49" s="488" t="str">
        <f>IF(D12=500,"",IF(G14&gt;M16,"",((0.85*SQRT(0.8*D11)*(SQRT(1+(5*N51))-1))/(6*N51))))</f>
        <v/>
      </c>
      <c r="E49" s="407" t="s">
        <v>614</v>
      </c>
      <c r="G49" s="407" t="s">
        <v>615</v>
      </c>
      <c r="H49" s="489"/>
      <c r="J49" s="425"/>
      <c r="M49" s="462" t="s">
        <v>14</v>
      </c>
      <c r="N49" s="473" t="e">
        <f>IF(T49=1,(F33*100)/(D6*G8),(F59*100)/(D6*G8))</f>
        <v>#VALUE!</v>
      </c>
      <c r="O49" s="437" t="s">
        <v>616</v>
      </c>
      <c r="R49" s="427"/>
      <c r="T49" s="392" t="b">
        <f>FALSE</f>
        <v>0</v>
      </c>
    </row>
    <row r="50" spans="2:20" ht="12.75" customHeight="1" x14ac:dyDescent="0.2">
      <c r="B50" s="402"/>
      <c r="C50" s="403" t="str">
        <f>IF(D12=500,"","ζcmax")</f>
        <v/>
      </c>
      <c r="D50" s="490" t="str">
        <f>IF(D12=500,"",IF(G14&gt;M16,"",IF(D11=15,2.5,IF(D11=20,2.8,IF(D11=25,3.1,IF(D11=30,3.5,IF(D11=35,3.7,IF(D11=40,4))))))))</f>
        <v/>
      </c>
      <c r="E50" s="407" t="s">
        <v>617</v>
      </c>
      <c r="H50" s="411"/>
      <c r="J50" s="425"/>
      <c r="M50" s="491" t="s">
        <v>618</v>
      </c>
      <c r="N50" s="473" t="str">
        <f>IF(F42="","",((F42*100)/(D6*G8)))</f>
        <v/>
      </c>
      <c r="O50" s="437" t="s">
        <v>619</v>
      </c>
      <c r="R50" s="427"/>
    </row>
    <row r="51" spans="2:20" ht="12.75" customHeight="1" x14ac:dyDescent="0.2">
      <c r="B51" s="402"/>
      <c r="C51" s="623" t="str">
        <f>IF(D12=500,"According to Clause 26.5.1.6 of IS 456-2000 Characteristic Strength (fy) of stirrup reinforcement should not be greater than 415 Mpa.","")</f>
        <v>According to Clause 26.5.1.6 of IS 456-2000 Characteristic Strength (fy) of stirrup reinforcement should not be greater than 415 Mpa.</v>
      </c>
      <c r="D51" s="623"/>
      <c r="E51" s="623"/>
      <c r="F51" s="409"/>
      <c r="G51" s="492"/>
      <c r="H51" s="411"/>
      <c r="J51" s="425"/>
      <c r="M51" s="493" t="s">
        <v>13</v>
      </c>
      <c r="N51" s="473" t="e">
        <f>(0.8*D11)/(6.89*N49)</f>
        <v>#VALUE!</v>
      </c>
      <c r="O51" s="437" t="s">
        <v>620</v>
      </c>
      <c r="R51" s="427"/>
    </row>
    <row r="52" spans="2:20" ht="12.75" customHeight="1" x14ac:dyDescent="0.2">
      <c r="B52" s="402"/>
      <c r="C52" s="623"/>
      <c r="D52" s="623"/>
      <c r="E52" s="623"/>
      <c r="F52" s="474"/>
      <c r="G52" s="475"/>
      <c r="H52" s="411"/>
      <c r="J52" s="425"/>
      <c r="R52" s="427"/>
    </row>
    <row r="53" spans="2:20" ht="12.75" customHeight="1" x14ac:dyDescent="0.2">
      <c r="B53" s="402"/>
      <c r="C53" s="623"/>
      <c r="D53" s="623"/>
      <c r="E53" s="623"/>
      <c r="F53" s="474"/>
      <c r="G53" s="475"/>
      <c r="H53" s="411"/>
      <c r="J53" s="425"/>
      <c r="R53" s="427"/>
    </row>
    <row r="54" spans="2:20" ht="12.75" customHeight="1" x14ac:dyDescent="0.2">
      <c r="B54" s="402"/>
      <c r="C54" s="403"/>
      <c r="D54" s="395"/>
      <c r="E54" s="395"/>
      <c r="F54" s="494"/>
      <c r="G54" s="475"/>
      <c r="H54" s="411"/>
      <c r="J54" s="425"/>
      <c r="L54" s="495" t="s">
        <v>621</v>
      </c>
      <c r="M54" s="496"/>
      <c r="N54" s="497"/>
      <c r="O54" s="498" t="e">
        <f>(D49*D6*G8)/1000</f>
        <v>#VALUE!</v>
      </c>
      <c r="P54" s="437" t="s">
        <v>622</v>
      </c>
      <c r="R54" s="427"/>
    </row>
    <row r="55" spans="2:20" ht="12.75" customHeight="1" x14ac:dyDescent="0.2">
      <c r="B55" s="402"/>
      <c r="C55" s="456" t="str">
        <f>IF(D12=500,"",IF(T49=1,"","Type"))</f>
        <v/>
      </c>
      <c r="D55" s="456" t="str">
        <f>IF(D12=500,"",IF(T49=1,"","Bar Dia"))</f>
        <v/>
      </c>
      <c r="E55" s="456" t="str">
        <f>IF(D12=500,"",IF(T49=1,"","Nos"))</f>
        <v/>
      </c>
      <c r="F55" s="456" t="str">
        <f>IF(D12=500,"",IF(T49=1,"","Area of Steel"))</f>
        <v/>
      </c>
      <c r="G55" s="457"/>
      <c r="H55" s="411"/>
      <c r="J55" s="425"/>
      <c r="L55" s="499" t="s">
        <v>623</v>
      </c>
      <c r="M55" s="500"/>
      <c r="N55" s="501"/>
      <c r="O55" s="498" t="e">
        <f>D47-O54</f>
        <v>#VALUE!</v>
      </c>
      <c r="P55" s="437" t="s">
        <v>624</v>
      </c>
      <c r="R55" s="427"/>
    </row>
    <row r="56" spans="2:20" ht="12.75" customHeight="1" x14ac:dyDescent="0.2">
      <c r="B56" s="402"/>
      <c r="C56" s="399" t="str">
        <f>IF(D12=500,"",IF(T49=1,"","Layer 1"))</f>
        <v/>
      </c>
      <c r="D56" s="458">
        <v>16</v>
      </c>
      <c r="E56" s="459">
        <v>2</v>
      </c>
      <c r="F56" s="464" t="str">
        <f>IF(D12=500,"",IF(T49=1,"",IF(G14&gt;M16,"",IF(D56="-","",(PI()/4)*(D56^2)*(E56)))))</f>
        <v/>
      </c>
      <c r="G56" s="475"/>
      <c r="H56" s="411"/>
      <c r="J56" s="425"/>
      <c r="L56" s="457"/>
      <c r="M56" s="457"/>
      <c r="N56" s="457"/>
      <c r="O56" s="502"/>
      <c r="R56" s="427"/>
    </row>
    <row r="57" spans="2:20" ht="11.25" customHeight="1" x14ac:dyDescent="0.2">
      <c r="B57" s="402"/>
      <c r="C57" s="392" t="str">
        <f>IF(D12=500,"",IF(T49=1,"","Layer 2"))</f>
        <v/>
      </c>
      <c r="D57" s="458">
        <v>12</v>
      </c>
      <c r="E57" s="459">
        <v>4</v>
      </c>
      <c r="F57" s="464" t="str">
        <f>IF(D12=500,"",IF(T49=1,"",IF(G14&gt;M16,"",IF(D57="-","",(PI()/4)*(D57^2)*(E57)))))</f>
        <v/>
      </c>
      <c r="G57" s="475"/>
      <c r="H57" s="411"/>
      <c r="J57" s="425"/>
      <c r="L57" s="503" t="s">
        <v>12</v>
      </c>
      <c r="M57" s="504"/>
      <c r="N57" s="457"/>
      <c r="O57" s="502"/>
      <c r="P57" s="624" t="s">
        <v>625</v>
      </c>
      <c r="R57" s="427"/>
    </row>
    <row r="58" spans="2:20" ht="12.75" customHeight="1" x14ac:dyDescent="0.2">
      <c r="B58" s="402"/>
      <c r="C58" s="467" t="str">
        <f>IF(D12=500,"",IF(T49=1,"","Layer 3"))</f>
        <v/>
      </c>
      <c r="D58" s="458" t="s">
        <v>602</v>
      </c>
      <c r="E58" s="459"/>
      <c r="F58" s="464" t="str">
        <f>IF(D12=500,"",IF(T49=1,"",IF(G14&gt;M16,"",IF(D58="-","",(PI()/4)*(D58^2)*(E58)))))</f>
        <v/>
      </c>
      <c r="H58" s="411"/>
      <c r="J58" s="425"/>
      <c r="L58" s="505" t="s">
        <v>626</v>
      </c>
      <c r="M58" s="454">
        <f>IF(D48&gt;D49,(0.87*D12*D65*(PI()/4)*D66*D66*G8)/(O55*1000),(((D65*PI()/4)*D66*D66*D12)/(0.4*D6)))</f>
        <v>549.71000062813528</v>
      </c>
      <c r="N58" s="437" t="s">
        <v>627</v>
      </c>
      <c r="P58" s="624"/>
      <c r="R58" s="427"/>
    </row>
    <row r="59" spans="2:20" ht="12.75" customHeight="1" x14ac:dyDescent="0.2">
      <c r="B59" s="402"/>
      <c r="C59" s="625" t="str">
        <f>IF(D12=500,"",IF(T49=1,"","Total Steel Provided"))</f>
        <v/>
      </c>
      <c r="D59" s="625"/>
      <c r="E59" s="625"/>
      <c r="F59" s="470" t="str">
        <f>IF(D12=500,"",IF(T49=1,"",IF(G14&gt;M16,"",SUM(F56:F58))))</f>
        <v/>
      </c>
      <c r="G59" s="471" t="e">
        <f>IF(G14&gt;M16,"",(F59*100/(D6*G8)))</f>
        <v>#VALUE!</v>
      </c>
      <c r="H59" s="411"/>
      <c r="J59" s="425"/>
      <c r="L59" s="491" t="s">
        <v>628</v>
      </c>
      <c r="M59" s="454">
        <f>((2*PI()/4)*D66*D66*0.87*D12)/(0.4*D6)</f>
        <v>478.24770054647769</v>
      </c>
      <c r="N59" s="437" t="s">
        <v>629</v>
      </c>
      <c r="P59" s="624"/>
      <c r="R59" s="427"/>
    </row>
    <row r="60" spans="2:20" ht="12.75" customHeight="1" x14ac:dyDescent="0.2">
      <c r="B60" s="402"/>
      <c r="C60" s="457"/>
      <c r="D60" s="506"/>
      <c r="E60" s="457"/>
      <c r="F60" s="457"/>
      <c r="G60" s="457"/>
      <c r="H60" s="411"/>
      <c r="J60" s="425"/>
      <c r="L60" s="491" t="s">
        <v>630</v>
      </c>
      <c r="M60" s="454">
        <f>(0.75*G8)</f>
        <v>243.45000000000002</v>
      </c>
      <c r="N60" s="437" t="s">
        <v>631</v>
      </c>
      <c r="P60" s="624"/>
      <c r="R60" s="427"/>
    </row>
    <row r="61" spans="2:20" ht="12.75" customHeight="1" x14ac:dyDescent="0.2">
      <c r="B61" s="402"/>
      <c r="C61" s="507" t="str">
        <f>IF(D12=500,"",IF(G14&gt;M16,"",IF(D48&lt;D50,"Sectional Dimensions OK","Revise sectional dimensions")))</f>
        <v/>
      </c>
      <c r="D61" s="507"/>
      <c r="E61" s="507"/>
      <c r="F61" s="457"/>
      <c r="G61" s="457"/>
      <c r="H61" s="411"/>
      <c r="J61" s="425"/>
      <c r="L61" s="472" t="s">
        <v>630</v>
      </c>
      <c r="M61" s="454">
        <v>300</v>
      </c>
      <c r="N61" s="437" t="s">
        <v>632</v>
      </c>
      <c r="P61" s="624"/>
      <c r="R61" s="427"/>
    </row>
    <row r="62" spans="2:20" ht="12.75" customHeight="1" x14ac:dyDescent="0.2">
      <c r="B62" s="402"/>
      <c r="C62" s="434" t="str">
        <f>IF(D12=500,"",IF(G14&gt;M16,"",IF(C61="Revise sectional dimensions","",IF(D48&gt;D49,"Shear Reinforcements required","Shear Check OK"))))</f>
        <v/>
      </c>
      <c r="D62" s="507"/>
      <c r="E62" s="507"/>
      <c r="F62" s="457"/>
      <c r="G62" s="457"/>
      <c r="H62" s="411"/>
      <c r="J62" s="425"/>
      <c r="L62" s="419"/>
      <c r="M62" s="414"/>
      <c r="N62" s="437"/>
      <c r="R62" s="427"/>
    </row>
    <row r="63" spans="2:20" ht="12.75" customHeight="1" x14ac:dyDescent="0.2">
      <c r="B63" s="402"/>
      <c r="C63" s="434"/>
      <c r="D63" s="507"/>
      <c r="E63" s="507"/>
      <c r="F63" s="457"/>
      <c r="G63" s="457"/>
      <c r="H63" s="411"/>
      <c r="J63" s="425"/>
      <c r="L63" s="419"/>
      <c r="M63" s="414"/>
      <c r="N63" s="437"/>
      <c r="R63" s="427"/>
    </row>
    <row r="64" spans="2:20" ht="12.75" customHeight="1" x14ac:dyDescent="0.2">
      <c r="B64" s="402"/>
      <c r="C64" s="507" t="str">
        <f>IF(D12=500,"",IF(G14&gt;M16,"",IF(D48&gt;D49,"","Provide Nominal Shear Reinforcement")))</f>
        <v/>
      </c>
      <c r="D64" s="507"/>
      <c r="E64" s="507"/>
      <c r="H64" s="411"/>
      <c r="J64" s="476"/>
      <c r="K64" s="483"/>
      <c r="L64" s="483"/>
      <c r="M64" s="483"/>
      <c r="N64" s="483"/>
      <c r="O64" s="483"/>
      <c r="P64" s="483"/>
      <c r="Q64" s="483"/>
      <c r="R64" s="484"/>
    </row>
    <row r="65" spans="2:8" ht="12.75" customHeight="1" x14ac:dyDescent="0.2">
      <c r="B65" s="402"/>
      <c r="C65" s="508" t="s">
        <v>633</v>
      </c>
      <c r="D65" s="509">
        <v>2</v>
      </c>
      <c r="E65" s="457"/>
      <c r="H65" s="411"/>
    </row>
    <row r="66" spans="2:8" ht="12.75" customHeight="1" x14ac:dyDescent="0.2">
      <c r="B66" s="402"/>
      <c r="C66" s="508" t="str">
        <f>IF(D12=500,"","Stirrup diameter")</f>
        <v/>
      </c>
      <c r="D66" s="510">
        <v>8</v>
      </c>
      <c r="E66" s="511"/>
      <c r="H66" s="411"/>
    </row>
    <row r="67" spans="2:8" ht="12.75" customHeight="1" x14ac:dyDescent="0.2">
      <c r="B67" s="402"/>
      <c r="C67" s="512" t="str">
        <f>IF(D12=500,"","Spacing")</f>
        <v/>
      </c>
      <c r="D67" s="513" t="str">
        <f>IF(D12=500,"",IF(C61="Revise sectional dimensions","",IF(G14&gt;M16,"",MIN(M58:M61))))</f>
        <v/>
      </c>
      <c r="E67" s="511"/>
      <c r="H67" s="411"/>
    </row>
    <row r="68" spans="2:8" ht="12.75" customHeight="1" x14ac:dyDescent="0.2">
      <c r="B68" s="448"/>
      <c r="C68" s="467"/>
      <c r="D68" s="467"/>
      <c r="E68" s="467"/>
      <c r="F68" s="467"/>
      <c r="G68" s="467"/>
      <c r="H68" s="480"/>
    </row>
  </sheetData>
  <mergeCells count="9">
    <mergeCell ref="C51:E53"/>
    <mergeCell ref="P57:P61"/>
    <mergeCell ref="C59:E59"/>
    <mergeCell ref="B2:H2"/>
    <mergeCell ref="C33:E33"/>
    <mergeCell ref="C34:G34"/>
    <mergeCell ref="C35:G35"/>
    <mergeCell ref="C42:E42"/>
    <mergeCell ref="C43:G43"/>
  </mergeCells>
  <dataValidations disablePrompts="1" count="6">
    <dataValidation type="list" allowBlank="1" showErrorMessage="1" sqref="D12 IZ12 SV12 ACR12 AMN12 AWJ12 BGF12 BQB12 BZX12 CJT12 CTP12 DDL12 DNH12 DXD12 EGZ12 EQV12 FAR12 FKN12 FUJ12 GEF12 GOB12 GXX12 HHT12 HRP12 IBL12 ILH12 IVD12 JEZ12 JOV12 JYR12 KIN12 KSJ12 LCF12 LMB12 LVX12 MFT12 MPP12 MZL12 NJH12 NTD12 OCZ12 OMV12 OWR12 PGN12 PQJ12 QAF12 QKB12 QTX12 RDT12 RNP12 RXL12 SHH12 SRD12 TAZ12 TKV12 TUR12 UEN12 UOJ12 UYF12 VIB12 VRX12 WBT12 WLP12 WVL12 D65548 IZ65548 SV65548 ACR65548 AMN65548 AWJ65548 BGF65548 BQB65548 BZX65548 CJT65548 CTP65548 DDL65548 DNH65548 DXD65548 EGZ65548 EQV65548 FAR65548 FKN65548 FUJ65548 GEF65548 GOB65548 GXX65548 HHT65548 HRP65548 IBL65548 ILH65548 IVD65548 JEZ65548 JOV65548 JYR65548 KIN65548 KSJ65548 LCF65548 LMB65548 LVX65548 MFT65548 MPP65548 MZL65548 NJH65548 NTD65548 OCZ65548 OMV65548 OWR65548 PGN65548 PQJ65548 QAF65548 QKB65548 QTX65548 RDT65548 RNP65548 RXL65548 SHH65548 SRD65548 TAZ65548 TKV65548 TUR65548 UEN65548 UOJ65548 UYF65548 VIB65548 VRX65548 WBT65548 WLP65548 WVL65548 D131084 IZ131084 SV131084 ACR131084 AMN131084 AWJ131084 BGF131084 BQB131084 BZX131084 CJT131084 CTP131084 DDL131084 DNH131084 DXD131084 EGZ131084 EQV131084 FAR131084 FKN131084 FUJ131084 GEF131084 GOB131084 GXX131084 HHT131084 HRP131084 IBL131084 ILH131084 IVD131084 JEZ131084 JOV131084 JYR131084 KIN131084 KSJ131084 LCF131084 LMB131084 LVX131084 MFT131084 MPP131084 MZL131084 NJH131084 NTD131084 OCZ131084 OMV131084 OWR131084 PGN131084 PQJ131084 QAF131084 QKB131084 QTX131084 RDT131084 RNP131084 RXL131084 SHH131084 SRD131084 TAZ131084 TKV131084 TUR131084 UEN131084 UOJ131084 UYF131084 VIB131084 VRX131084 WBT131084 WLP131084 WVL131084 D196620 IZ196620 SV196620 ACR196620 AMN196620 AWJ196620 BGF196620 BQB196620 BZX196620 CJT196620 CTP196620 DDL196620 DNH196620 DXD196620 EGZ196620 EQV196620 FAR196620 FKN196620 FUJ196620 GEF196620 GOB196620 GXX196620 HHT196620 HRP196620 IBL196620 ILH196620 IVD196620 JEZ196620 JOV196620 JYR196620 KIN196620 KSJ196620 LCF196620 LMB196620 LVX196620 MFT196620 MPP196620 MZL196620 NJH196620 NTD196620 OCZ196620 OMV196620 OWR196620 PGN196620 PQJ196620 QAF196620 QKB196620 QTX196620 RDT196620 RNP196620 RXL196620 SHH196620 SRD196620 TAZ196620 TKV196620 TUR196620 UEN196620 UOJ196620 UYF196620 VIB196620 VRX196620 WBT196620 WLP196620 WVL196620 D262156 IZ262156 SV262156 ACR262156 AMN262156 AWJ262156 BGF262156 BQB262156 BZX262156 CJT262156 CTP262156 DDL262156 DNH262156 DXD262156 EGZ262156 EQV262156 FAR262156 FKN262156 FUJ262156 GEF262156 GOB262156 GXX262156 HHT262156 HRP262156 IBL262156 ILH262156 IVD262156 JEZ262156 JOV262156 JYR262156 KIN262156 KSJ262156 LCF262156 LMB262156 LVX262156 MFT262156 MPP262156 MZL262156 NJH262156 NTD262156 OCZ262156 OMV262156 OWR262156 PGN262156 PQJ262156 QAF262156 QKB262156 QTX262156 RDT262156 RNP262156 RXL262156 SHH262156 SRD262156 TAZ262156 TKV262156 TUR262156 UEN262156 UOJ262156 UYF262156 VIB262156 VRX262156 WBT262156 WLP262156 WVL262156 D327692 IZ327692 SV327692 ACR327692 AMN327692 AWJ327692 BGF327692 BQB327692 BZX327692 CJT327692 CTP327692 DDL327692 DNH327692 DXD327692 EGZ327692 EQV327692 FAR327692 FKN327692 FUJ327692 GEF327692 GOB327692 GXX327692 HHT327692 HRP327692 IBL327692 ILH327692 IVD327692 JEZ327692 JOV327692 JYR327692 KIN327692 KSJ327692 LCF327692 LMB327692 LVX327692 MFT327692 MPP327692 MZL327692 NJH327692 NTD327692 OCZ327692 OMV327692 OWR327692 PGN327692 PQJ327692 QAF327692 QKB327692 QTX327692 RDT327692 RNP327692 RXL327692 SHH327692 SRD327692 TAZ327692 TKV327692 TUR327692 UEN327692 UOJ327692 UYF327692 VIB327692 VRX327692 WBT327692 WLP327692 WVL327692 D393228 IZ393228 SV393228 ACR393228 AMN393228 AWJ393228 BGF393228 BQB393228 BZX393228 CJT393228 CTP393228 DDL393228 DNH393228 DXD393228 EGZ393228 EQV393228 FAR393228 FKN393228 FUJ393228 GEF393228 GOB393228 GXX393228 HHT393228 HRP393228 IBL393228 ILH393228 IVD393228 JEZ393228 JOV393228 JYR393228 KIN393228 KSJ393228 LCF393228 LMB393228 LVX393228 MFT393228 MPP393228 MZL393228 NJH393228 NTD393228 OCZ393228 OMV393228 OWR393228 PGN393228 PQJ393228 QAF393228 QKB393228 QTX393228 RDT393228 RNP393228 RXL393228 SHH393228 SRD393228 TAZ393228 TKV393228 TUR393228 UEN393228 UOJ393228 UYF393228 VIB393228 VRX393228 WBT393228 WLP393228 WVL393228 D458764 IZ458764 SV458764 ACR458764 AMN458764 AWJ458764 BGF458764 BQB458764 BZX458764 CJT458764 CTP458764 DDL458764 DNH458764 DXD458764 EGZ458764 EQV458764 FAR458764 FKN458764 FUJ458764 GEF458764 GOB458764 GXX458764 HHT458764 HRP458764 IBL458764 ILH458764 IVD458764 JEZ458764 JOV458764 JYR458764 KIN458764 KSJ458764 LCF458764 LMB458764 LVX458764 MFT458764 MPP458764 MZL458764 NJH458764 NTD458764 OCZ458764 OMV458764 OWR458764 PGN458764 PQJ458764 QAF458764 QKB458764 QTX458764 RDT458764 RNP458764 RXL458764 SHH458764 SRD458764 TAZ458764 TKV458764 TUR458764 UEN458764 UOJ458764 UYF458764 VIB458764 VRX458764 WBT458764 WLP458764 WVL458764 D524300 IZ524300 SV524300 ACR524300 AMN524300 AWJ524300 BGF524300 BQB524300 BZX524300 CJT524300 CTP524300 DDL524300 DNH524300 DXD524300 EGZ524300 EQV524300 FAR524300 FKN524300 FUJ524300 GEF524300 GOB524300 GXX524300 HHT524300 HRP524300 IBL524300 ILH524300 IVD524300 JEZ524300 JOV524300 JYR524300 KIN524300 KSJ524300 LCF524300 LMB524300 LVX524300 MFT524300 MPP524300 MZL524300 NJH524300 NTD524300 OCZ524300 OMV524300 OWR524300 PGN524300 PQJ524300 QAF524300 QKB524300 QTX524300 RDT524300 RNP524300 RXL524300 SHH524300 SRD524300 TAZ524300 TKV524300 TUR524300 UEN524300 UOJ524300 UYF524300 VIB524300 VRX524300 WBT524300 WLP524300 WVL524300 D589836 IZ589836 SV589836 ACR589836 AMN589836 AWJ589836 BGF589836 BQB589836 BZX589836 CJT589836 CTP589836 DDL589836 DNH589836 DXD589836 EGZ589836 EQV589836 FAR589836 FKN589836 FUJ589836 GEF589836 GOB589836 GXX589836 HHT589836 HRP589836 IBL589836 ILH589836 IVD589836 JEZ589836 JOV589836 JYR589836 KIN589836 KSJ589836 LCF589836 LMB589836 LVX589836 MFT589836 MPP589836 MZL589836 NJH589836 NTD589836 OCZ589836 OMV589836 OWR589836 PGN589836 PQJ589836 QAF589836 QKB589836 QTX589836 RDT589836 RNP589836 RXL589836 SHH589836 SRD589836 TAZ589836 TKV589836 TUR589836 UEN589836 UOJ589836 UYF589836 VIB589836 VRX589836 WBT589836 WLP589836 WVL589836 D655372 IZ655372 SV655372 ACR655372 AMN655372 AWJ655372 BGF655372 BQB655372 BZX655372 CJT655372 CTP655372 DDL655372 DNH655372 DXD655372 EGZ655372 EQV655372 FAR655372 FKN655372 FUJ655372 GEF655372 GOB655372 GXX655372 HHT655372 HRP655372 IBL655372 ILH655372 IVD655372 JEZ655372 JOV655372 JYR655372 KIN655372 KSJ655372 LCF655372 LMB655372 LVX655372 MFT655372 MPP655372 MZL655372 NJH655372 NTD655372 OCZ655372 OMV655372 OWR655372 PGN655372 PQJ655372 QAF655372 QKB655372 QTX655372 RDT655372 RNP655372 RXL655372 SHH655372 SRD655372 TAZ655372 TKV655372 TUR655372 UEN655372 UOJ655372 UYF655372 VIB655372 VRX655372 WBT655372 WLP655372 WVL655372 D720908 IZ720908 SV720908 ACR720908 AMN720908 AWJ720908 BGF720908 BQB720908 BZX720908 CJT720908 CTP720908 DDL720908 DNH720908 DXD720908 EGZ720908 EQV720908 FAR720908 FKN720908 FUJ720908 GEF720908 GOB720908 GXX720908 HHT720908 HRP720908 IBL720908 ILH720908 IVD720908 JEZ720908 JOV720908 JYR720908 KIN720908 KSJ720908 LCF720908 LMB720908 LVX720908 MFT720908 MPP720908 MZL720908 NJH720908 NTD720908 OCZ720908 OMV720908 OWR720908 PGN720908 PQJ720908 QAF720908 QKB720908 QTX720908 RDT720908 RNP720908 RXL720908 SHH720908 SRD720908 TAZ720908 TKV720908 TUR720908 UEN720908 UOJ720908 UYF720908 VIB720908 VRX720908 WBT720908 WLP720908 WVL720908 D786444 IZ786444 SV786444 ACR786444 AMN786444 AWJ786444 BGF786444 BQB786444 BZX786444 CJT786444 CTP786444 DDL786444 DNH786444 DXD786444 EGZ786444 EQV786444 FAR786444 FKN786444 FUJ786444 GEF786444 GOB786444 GXX786444 HHT786444 HRP786444 IBL786444 ILH786444 IVD786444 JEZ786444 JOV786444 JYR786444 KIN786444 KSJ786444 LCF786444 LMB786444 LVX786444 MFT786444 MPP786444 MZL786444 NJH786444 NTD786444 OCZ786444 OMV786444 OWR786444 PGN786444 PQJ786444 QAF786444 QKB786444 QTX786444 RDT786444 RNP786444 RXL786444 SHH786444 SRD786444 TAZ786444 TKV786444 TUR786444 UEN786444 UOJ786444 UYF786444 VIB786444 VRX786444 WBT786444 WLP786444 WVL786444 D851980 IZ851980 SV851980 ACR851980 AMN851980 AWJ851980 BGF851980 BQB851980 BZX851980 CJT851980 CTP851980 DDL851980 DNH851980 DXD851980 EGZ851980 EQV851980 FAR851980 FKN851980 FUJ851980 GEF851980 GOB851980 GXX851980 HHT851980 HRP851980 IBL851980 ILH851980 IVD851980 JEZ851980 JOV851980 JYR851980 KIN851980 KSJ851980 LCF851980 LMB851980 LVX851980 MFT851980 MPP851980 MZL851980 NJH851980 NTD851980 OCZ851980 OMV851980 OWR851980 PGN851980 PQJ851980 QAF851980 QKB851980 QTX851980 RDT851980 RNP851980 RXL851980 SHH851980 SRD851980 TAZ851980 TKV851980 TUR851980 UEN851980 UOJ851980 UYF851980 VIB851980 VRX851980 WBT851980 WLP851980 WVL851980 D917516 IZ917516 SV917516 ACR917516 AMN917516 AWJ917516 BGF917516 BQB917516 BZX917516 CJT917516 CTP917516 DDL917516 DNH917516 DXD917516 EGZ917516 EQV917516 FAR917516 FKN917516 FUJ917516 GEF917516 GOB917516 GXX917516 HHT917516 HRP917516 IBL917516 ILH917516 IVD917516 JEZ917516 JOV917516 JYR917516 KIN917516 KSJ917516 LCF917516 LMB917516 LVX917516 MFT917516 MPP917516 MZL917516 NJH917516 NTD917516 OCZ917516 OMV917516 OWR917516 PGN917516 PQJ917516 QAF917516 QKB917516 QTX917516 RDT917516 RNP917516 RXL917516 SHH917516 SRD917516 TAZ917516 TKV917516 TUR917516 UEN917516 UOJ917516 UYF917516 VIB917516 VRX917516 WBT917516 WLP917516 WVL917516 D983052 IZ983052 SV983052 ACR983052 AMN983052 AWJ983052 BGF983052 BQB983052 BZX983052 CJT983052 CTP983052 DDL983052 DNH983052 DXD983052 EGZ983052 EQV983052 FAR983052 FKN983052 FUJ983052 GEF983052 GOB983052 GXX983052 HHT983052 HRP983052 IBL983052 ILH983052 IVD983052 JEZ983052 JOV983052 JYR983052 KIN983052 KSJ983052 LCF983052 LMB983052 LVX983052 MFT983052 MPP983052 MZL983052 NJH983052 NTD983052 OCZ983052 OMV983052 OWR983052 PGN983052 PQJ983052 QAF983052 QKB983052 QTX983052 RDT983052 RNP983052 RXL983052 SHH983052 SRD983052 TAZ983052 TKV983052 TUR983052 UEN983052 UOJ983052 UYF983052 VIB983052 VRX983052 WBT983052 WLP983052 WVL983052" xr:uid="{D0FE6DC9-F5C8-4A63-9D74-766CA59FD934}">
      <formula1>"250,415,500"</formula1>
      <formula2>0</formula2>
    </dataValidation>
    <dataValidation type="list" allowBlank="1" showErrorMessage="1" sqref="D11 IZ11 SV11 ACR11 AMN11 AWJ11 BGF11 BQB11 BZX11 CJT11 CTP11 DDL11 DNH11 DXD11 EGZ11 EQV11 FAR11 FKN11 FUJ11 GEF11 GOB11 GXX11 HHT11 HRP11 IBL11 ILH11 IVD11 JEZ11 JOV11 JYR11 KIN11 KSJ11 LCF11 LMB11 LVX11 MFT11 MPP11 MZL11 NJH11 NTD11 OCZ11 OMV11 OWR11 PGN11 PQJ11 QAF11 QKB11 QTX11 RDT11 RNP11 RXL11 SHH11 SRD11 TAZ11 TKV11 TUR11 UEN11 UOJ11 UYF11 VIB11 VRX11 WBT11 WLP11 WVL11 D65547 IZ65547 SV65547 ACR65547 AMN65547 AWJ65547 BGF65547 BQB65547 BZX65547 CJT65547 CTP65547 DDL65547 DNH65547 DXD65547 EGZ65547 EQV65547 FAR65547 FKN65547 FUJ65547 GEF65547 GOB65547 GXX65547 HHT65547 HRP65547 IBL65547 ILH65547 IVD65547 JEZ65547 JOV65547 JYR65547 KIN65547 KSJ65547 LCF65547 LMB65547 LVX65547 MFT65547 MPP65547 MZL65547 NJH65547 NTD65547 OCZ65547 OMV65547 OWR65547 PGN65547 PQJ65547 QAF65547 QKB65547 QTX65547 RDT65547 RNP65547 RXL65547 SHH65547 SRD65547 TAZ65547 TKV65547 TUR65547 UEN65547 UOJ65547 UYF65547 VIB65547 VRX65547 WBT65547 WLP65547 WVL65547 D131083 IZ131083 SV131083 ACR131083 AMN131083 AWJ131083 BGF131083 BQB131083 BZX131083 CJT131083 CTP131083 DDL131083 DNH131083 DXD131083 EGZ131083 EQV131083 FAR131083 FKN131083 FUJ131083 GEF131083 GOB131083 GXX131083 HHT131083 HRP131083 IBL131083 ILH131083 IVD131083 JEZ131083 JOV131083 JYR131083 KIN131083 KSJ131083 LCF131083 LMB131083 LVX131083 MFT131083 MPP131083 MZL131083 NJH131083 NTD131083 OCZ131083 OMV131083 OWR131083 PGN131083 PQJ131083 QAF131083 QKB131083 QTX131083 RDT131083 RNP131083 RXL131083 SHH131083 SRD131083 TAZ131083 TKV131083 TUR131083 UEN131083 UOJ131083 UYF131083 VIB131083 VRX131083 WBT131083 WLP131083 WVL131083 D196619 IZ196619 SV196619 ACR196619 AMN196619 AWJ196619 BGF196619 BQB196619 BZX196619 CJT196619 CTP196619 DDL196619 DNH196619 DXD196619 EGZ196619 EQV196619 FAR196619 FKN196619 FUJ196619 GEF196619 GOB196619 GXX196619 HHT196619 HRP196619 IBL196619 ILH196619 IVD196619 JEZ196619 JOV196619 JYR196619 KIN196619 KSJ196619 LCF196619 LMB196619 LVX196619 MFT196619 MPP196619 MZL196619 NJH196619 NTD196619 OCZ196619 OMV196619 OWR196619 PGN196619 PQJ196619 QAF196619 QKB196619 QTX196619 RDT196619 RNP196619 RXL196619 SHH196619 SRD196619 TAZ196619 TKV196619 TUR196619 UEN196619 UOJ196619 UYF196619 VIB196619 VRX196619 WBT196619 WLP196619 WVL196619 D262155 IZ262155 SV262155 ACR262155 AMN262155 AWJ262155 BGF262155 BQB262155 BZX262155 CJT262155 CTP262155 DDL262155 DNH262155 DXD262155 EGZ262155 EQV262155 FAR262155 FKN262155 FUJ262155 GEF262155 GOB262155 GXX262155 HHT262155 HRP262155 IBL262155 ILH262155 IVD262155 JEZ262155 JOV262155 JYR262155 KIN262155 KSJ262155 LCF262155 LMB262155 LVX262155 MFT262155 MPP262155 MZL262155 NJH262155 NTD262155 OCZ262155 OMV262155 OWR262155 PGN262155 PQJ262155 QAF262155 QKB262155 QTX262155 RDT262155 RNP262155 RXL262155 SHH262155 SRD262155 TAZ262155 TKV262155 TUR262155 UEN262155 UOJ262155 UYF262155 VIB262155 VRX262155 WBT262155 WLP262155 WVL262155 D327691 IZ327691 SV327691 ACR327691 AMN327691 AWJ327691 BGF327691 BQB327691 BZX327691 CJT327691 CTP327691 DDL327691 DNH327691 DXD327691 EGZ327691 EQV327691 FAR327691 FKN327691 FUJ327691 GEF327691 GOB327691 GXX327691 HHT327691 HRP327691 IBL327691 ILH327691 IVD327691 JEZ327691 JOV327691 JYR327691 KIN327691 KSJ327691 LCF327691 LMB327691 LVX327691 MFT327691 MPP327691 MZL327691 NJH327691 NTD327691 OCZ327691 OMV327691 OWR327691 PGN327691 PQJ327691 QAF327691 QKB327691 QTX327691 RDT327691 RNP327691 RXL327691 SHH327691 SRD327691 TAZ327691 TKV327691 TUR327691 UEN327691 UOJ327691 UYF327691 VIB327691 VRX327691 WBT327691 WLP327691 WVL327691 D393227 IZ393227 SV393227 ACR393227 AMN393227 AWJ393227 BGF393227 BQB393227 BZX393227 CJT393227 CTP393227 DDL393227 DNH393227 DXD393227 EGZ393227 EQV393227 FAR393227 FKN393227 FUJ393227 GEF393227 GOB393227 GXX393227 HHT393227 HRP393227 IBL393227 ILH393227 IVD393227 JEZ393227 JOV393227 JYR393227 KIN393227 KSJ393227 LCF393227 LMB393227 LVX393227 MFT393227 MPP393227 MZL393227 NJH393227 NTD393227 OCZ393227 OMV393227 OWR393227 PGN393227 PQJ393227 QAF393227 QKB393227 QTX393227 RDT393227 RNP393227 RXL393227 SHH393227 SRD393227 TAZ393227 TKV393227 TUR393227 UEN393227 UOJ393227 UYF393227 VIB393227 VRX393227 WBT393227 WLP393227 WVL393227 D458763 IZ458763 SV458763 ACR458763 AMN458763 AWJ458763 BGF458763 BQB458763 BZX458763 CJT458763 CTP458763 DDL458763 DNH458763 DXD458763 EGZ458763 EQV458763 FAR458763 FKN458763 FUJ458763 GEF458763 GOB458763 GXX458763 HHT458763 HRP458763 IBL458763 ILH458763 IVD458763 JEZ458763 JOV458763 JYR458763 KIN458763 KSJ458763 LCF458763 LMB458763 LVX458763 MFT458763 MPP458763 MZL458763 NJH458763 NTD458763 OCZ458763 OMV458763 OWR458763 PGN458763 PQJ458763 QAF458763 QKB458763 QTX458763 RDT458763 RNP458763 RXL458763 SHH458763 SRD458763 TAZ458763 TKV458763 TUR458763 UEN458763 UOJ458763 UYF458763 VIB458763 VRX458763 WBT458763 WLP458763 WVL458763 D524299 IZ524299 SV524299 ACR524299 AMN524299 AWJ524299 BGF524299 BQB524299 BZX524299 CJT524299 CTP524299 DDL524299 DNH524299 DXD524299 EGZ524299 EQV524299 FAR524299 FKN524299 FUJ524299 GEF524299 GOB524299 GXX524299 HHT524299 HRP524299 IBL524299 ILH524299 IVD524299 JEZ524299 JOV524299 JYR524299 KIN524299 KSJ524299 LCF524299 LMB524299 LVX524299 MFT524299 MPP524299 MZL524299 NJH524299 NTD524299 OCZ524299 OMV524299 OWR524299 PGN524299 PQJ524299 QAF524299 QKB524299 QTX524299 RDT524299 RNP524299 RXL524299 SHH524299 SRD524299 TAZ524299 TKV524299 TUR524299 UEN524299 UOJ524299 UYF524299 VIB524299 VRX524299 WBT524299 WLP524299 WVL524299 D589835 IZ589835 SV589835 ACR589835 AMN589835 AWJ589835 BGF589835 BQB589835 BZX589835 CJT589835 CTP589835 DDL589835 DNH589835 DXD589835 EGZ589835 EQV589835 FAR589835 FKN589835 FUJ589835 GEF589835 GOB589835 GXX589835 HHT589835 HRP589835 IBL589835 ILH589835 IVD589835 JEZ589835 JOV589835 JYR589835 KIN589835 KSJ589835 LCF589835 LMB589835 LVX589835 MFT589835 MPP589835 MZL589835 NJH589835 NTD589835 OCZ589835 OMV589835 OWR589835 PGN589835 PQJ589835 QAF589835 QKB589835 QTX589835 RDT589835 RNP589835 RXL589835 SHH589835 SRD589835 TAZ589835 TKV589835 TUR589835 UEN589835 UOJ589835 UYF589835 VIB589835 VRX589835 WBT589835 WLP589835 WVL589835 D655371 IZ655371 SV655371 ACR655371 AMN655371 AWJ655371 BGF655371 BQB655371 BZX655371 CJT655371 CTP655371 DDL655371 DNH655371 DXD655371 EGZ655371 EQV655371 FAR655371 FKN655371 FUJ655371 GEF655371 GOB655371 GXX655371 HHT655371 HRP655371 IBL655371 ILH655371 IVD655371 JEZ655371 JOV655371 JYR655371 KIN655371 KSJ655371 LCF655371 LMB655371 LVX655371 MFT655371 MPP655371 MZL655371 NJH655371 NTD655371 OCZ655371 OMV655371 OWR655371 PGN655371 PQJ655371 QAF655371 QKB655371 QTX655371 RDT655371 RNP655371 RXL655371 SHH655371 SRD655371 TAZ655371 TKV655371 TUR655371 UEN655371 UOJ655371 UYF655371 VIB655371 VRX655371 WBT655371 WLP655371 WVL655371 D720907 IZ720907 SV720907 ACR720907 AMN720907 AWJ720907 BGF720907 BQB720907 BZX720907 CJT720907 CTP720907 DDL720907 DNH720907 DXD720907 EGZ720907 EQV720907 FAR720907 FKN720907 FUJ720907 GEF720907 GOB720907 GXX720907 HHT720907 HRP720907 IBL720907 ILH720907 IVD720907 JEZ720907 JOV720907 JYR720907 KIN720907 KSJ720907 LCF720907 LMB720907 LVX720907 MFT720907 MPP720907 MZL720907 NJH720907 NTD720907 OCZ720907 OMV720907 OWR720907 PGN720907 PQJ720907 QAF720907 QKB720907 QTX720907 RDT720907 RNP720907 RXL720907 SHH720907 SRD720907 TAZ720907 TKV720907 TUR720907 UEN720907 UOJ720907 UYF720907 VIB720907 VRX720907 WBT720907 WLP720907 WVL720907 D786443 IZ786443 SV786443 ACR786443 AMN786443 AWJ786443 BGF786443 BQB786443 BZX786443 CJT786443 CTP786443 DDL786443 DNH786443 DXD786443 EGZ786443 EQV786443 FAR786443 FKN786443 FUJ786443 GEF786443 GOB786443 GXX786443 HHT786443 HRP786443 IBL786443 ILH786443 IVD786443 JEZ786443 JOV786443 JYR786443 KIN786443 KSJ786443 LCF786443 LMB786443 LVX786443 MFT786443 MPP786443 MZL786443 NJH786443 NTD786443 OCZ786443 OMV786443 OWR786443 PGN786443 PQJ786443 QAF786443 QKB786443 QTX786443 RDT786443 RNP786443 RXL786443 SHH786443 SRD786443 TAZ786443 TKV786443 TUR786443 UEN786443 UOJ786443 UYF786443 VIB786443 VRX786443 WBT786443 WLP786443 WVL786443 D851979 IZ851979 SV851979 ACR851979 AMN851979 AWJ851979 BGF851979 BQB851979 BZX851979 CJT851979 CTP851979 DDL851979 DNH851979 DXD851979 EGZ851979 EQV851979 FAR851979 FKN851979 FUJ851979 GEF851979 GOB851979 GXX851979 HHT851979 HRP851979 IBL851979 ILH851979 IVD851979 JEZ851979 JOV851979 JYR851979 KIN851979 KSJ851979 LCF851979 LMB851979 LVX851979 MFT851979 MPP851979 MZL851979 NJH851979 NTD851979 OCZ851979 OMV851979 OWR851979 PGN851979 PQJ851979 QAF851979 QKB851979 QTX851979 RDT851979 RNP851979 RXL851979 SHH851979 SRD851979 TAZ851979 TKV851979 TUR851979 UEN851979 UOJ851979 UYF851979 VIB851979 VRX851979 WBT851979 WLP851979 WVL851979 D917515 IZ917515 SV917515 ACR917515 AMN917515 AWJ917515 BGF917515 BQB917515 BZX917515 CJT917515 CTP917515 DDL917515 DNH917515 DXD917515 EGZ917515 EQV917515 FAR917515 FKN917515 FUJ917515 GEF917515 GOB917515 GXX917515 HHT917515 HRP917515 IBL917515 ILH917515 IVD917515 JEZ917515 JOV917515 JYR917515 KIN917515 KSJ917515 LCF917515 LMB917515 LVX917515 MFT917515 MPP917515 MZL917515 NJH917515 NTD917515 OCZ917515 OMV917515 OWR917515 PGN917515 PQJ917515 QAF917515 QKB917515 QTX917515 RDT917515 RNP917515 RXL917515 SHH917515 SRD917515 TAZ917515 TKV917515 TUR917515 UEN917515 UOJ917515 UYF917515 VIB917515 VRX917515 WBT917515 WLP917515 WVL917515 D983051 IZ983051 SV983051 ACR983051 AMN983051 AWJ983051 BGF983051 BQB983051 BZX983051 CJT983051 CTP983051 DDL983051 DNH983051 DXD983051 EGZ983051 EQV983051 FAR983051 FKN983051 FUJ983051 GEF983051 GOB983051 GXX983051 HHT983051 HRP983051 IBL983051 ILH983051 IVD983051 JEZ983051 JOV983051 JYR983051 KIN983051 KSJ983051 LCF983051 LMB983051 LVX983051 MFT983051 MPP983051 MZL983051 NJH983051 NTD983051 OCZ983051 OMV983051 OWR983051 PGN983051 PQJ983051 QAF983051 QKB983051 QTX983051 RDT983051 RNP983051 RXL983051 SHH983051 SRD983051 TAZ983051 TKV983051 TUR983051 UEN983051 UOJ983051 UYF983051 VIB983051 VRX983051 WBT983051 WLP983051 WVL983051" xr:uid="{8D67CB92-936B-4CC8-A688-F80F53DC4DC9}">
      <formula1>"15,20,25,30"</formula1>
      <formula2>0</formula2>
    </dataValidation>
    <dataValidation type="list" showErrorMessage="1" sqref="D30 IZ30 SV30 ACR30 AMN30 AWJ30 BGF30 BQB30 BZX30 CJT30 CTP30 DDL30 DNH30 DXD30 EGZ30 EQV30 FAR30 FKN30 FUJ30 GEF30 GOB30 GXX30 HHT30 HRP30 IBL30 ILH30 IVD30 JEZ30 JOV30 JYR30 KIN30 KSJ30 LCF30 LMB30 LVX30 MFT30 MPP30 MZL30 NJH30 NTD30 OCZ30 OMV30 OWR30 PGN30 PQJ30 QAF30 QKB30 QTX30 RDT30 RNP30 RXL30 SHH30 SRD30 TAZ30 TKV30 TUR30 UEN30 UOJ30 UYF30 VIB30 VRX30 WBT30 WLP30 WVL30 D65566 IZ65566 SV65566 ACR65566 AMN65566 AWJ65566 BGF65566 BQB65566 BZX65566 CJT65566 CTP65566 DDL65566 DNH65566 DXD65566 EGZ65566 EQV65566 FAR65566 FKN65566 FUJ65566 GEF65566 GOB65566 GXX65566 HHT65566 HRP65566 IBL65566 ILH65566 IVD65566 JEZ65566 JOV65566 JYR65566 KIN65566 KSJ65566 LCF65566 LMB65566 LVX65566 MFT65566 MPP65566 MZL65566 NJH65566 NTD65566 OCZ65566 OMV65566 OWR65566 PGN65566 PQJ65566 QAF65566 QKB65566 QTX65566 RDT65566 RNP65566 RXL65566 SHH65566 SRD65566 TAZ65566 TKV65566 TUR65566 UEN65566 UOJ65566 UYF65566 VIB65566 VRX65566 WBT65566 WLP65566 WVL65566 D131102 IZ131102 SV131102 ACR131102 AMN131102 AWJ131102 BGF131102 BQB131102 BZX131102 CJT131102 CTP131102 DDL131102 DNH131102 DXD131102 EGZ131102 EQV131102 FAR131102 FKN131102 FUJ131102 GEF131102 GOB131102 GXX131102 HHT131102 HRP131102 IBL131102 ILH131102 IVD131102 JEZ131102 JOV131102 JYR131102 KIN131102 KSJ131102 LCF131102 LMB131102 LVX131102 MFT131102 MPP131102 MZL131102 NJH131102 NTD131102 OCZ131102 OMV131102 OWR131102 PGN131102 PQJ131102 QAF131102 QKB131102 QTX131102 RDT131102 RNP131102 RXL131102 SHH131102 SRD131102 TAZ131102 TKV131102 TUR131102 UEN131102 UOJ131102 UYF131102 VIB131102 VRX131102 WBT131102 WLP131102 WVL131102 D196638 IZ196638 SV196638 ACR196638 AMN196638 AWJ196638 BGF196638 BQB196638 BZX196638 CJT196638 CTP196638 DDL196638 DNH196638 DXD196638 EGZ196638 EQV196638 FAR196638 FKN196638 FUJ196638 GEF196638 GOB196638 GXX196638 HHT196638 HRP196638 IBL196638 ILH196638 IVD196638 JEZ196638 JOV196638 JYR196638 KIN196638 KSJ196638 LCF196638 LMB196638 LVX196638 MFT196638 MPP196638 MZL196638 NJH196638 NTD196638 OCZ196638 OMV196638 OWR196638 PGN196638 PQJ196638 QAF196638 QKB196638 QTX196638 RDT196638 RNP196638 RXL196638 SHH196638 SRD196638 TAZ196638 TKV196638 TUR196638 UEN196638 UOJ196638 UYF196638 VIB196638 VRX196638 WBT196638 WLP196638 WVL196638 D262174 IZ262174 SV262174 ACR262174 AMN262174 AWJ262174 BGF262174 BQB262174 BZX262174 CJT262174 CTP262174 DDL262174 DNH262174 DXD262174 EGZ262174 EQV262174 FAR262174 FKN262174 FUJ262174 GEF262174 GOB262174 GXX262174 HHT262174 HRP262174 IBL262174 ILH262174 IVD262174 JEZ262174 JOV262174 JYR262174 KIN262174 KSJ262174 LCF262174 LMB262174 LVX262174 MFT262174 MPP262174 MZL262174 NJH262174 NTD262174 OCZ262174 OMV262174 OWR262174 PGN262174 PQJ262174 QAF262174 QKB262174 QTX262174 RDT262174 RNP262174 RXL262174 SHH262174 SRD262174 TAZ262174 TKV262174 TUR262174 UEN262174 UOJ262174 UYF262174 VIB262174 VRX262174 WBT262174 WLP262174 WVL262174 D327710 IZ327710 SV327710 ACR327710 AMN327710 AWJ327710 BGF327710 BQB327710 BZX327710 CJT327710 CTP327710 DDL327710 DNH327710 DXD327710 EGZ327710 EQV327710 FAR327710 FKN327710 FUJ327710 GEF327710 GOB327710 GXX327710 HHT327710 HRP327710 IBL327710 ILH327710 IVD327710 JEZ327710 JOV327710 JYR327710 KIN327710 KSJ327710 LCF327710 LMB327710 LVX327710 MFT327710 MPP327710 MZL327710 NJH327710 NTD327710 OCZ327710 OMV327710 OWR327710 PGN327710 PQJ327710 QAF327710 QKB327710 QTX327710 RDT327710 RNP327710 RXL327710 SHH327710 SRD327710 TAZ327710 TKV327710 TUR327710 UEN327710 UOJ327710 UYF327710 VIB327710 VRX327710 WBT327710 WLP327710 WVL327710 D393246 IZ393246 SV393246 ACR393246 AMN393246 AWJ393246 BGF393246 BQB393246 BZX393246 CJT393246 CTP393246 DDL393246 DNH393246 DXD393246 EGZ393246 EQV393246 FAR393246 FKN393246 FUJ393246 GEF393246 GOB393246 GXX393246 HHT393246 HRP393246 IBL393246 ILH393246 IVD393246 JEZ393246 JOV393246 JYR393246 KIN393246 KSJ393246 LCF393246 LMB393246 LVX393246 MFT393246 MPP393246 MZL393246 NJH393246 NTD393246 OCZ393246 OMV393246 OWR393246 PGN393246 PQJ393246 QAF393246 QKB393246 QTX393246 RDT393246 RNP393246 RXL393246 SHH393246 SRD393246 TAZ393246 TKV393246 TUR393246 UEN393246 UOJ393246 UYF393246 VIB393246 VRX393246 WBT393246 WLP393246 WVL393246 D458782 IZ458782 SV458782 ACR458782 AMN458782 AWJ458782 BGF458782 BQB458782 BZX458782 CJT458782 CTP458782 DDL458782 DNH458782 DXD458782 EGZ458782 EQV458782 FAR458782 FKN458782 FUJ458782 GEF458782 GOB458782 GXX458782 HHT458782 HRP458782 IBL458782 ILH458782 IVD458782 JEZ458782 JOV458782 JYR458782 KIN458782 KSJ458782 LCF458782 LMB458782 LVX458782 MFT458782 MPP458782 MZL458782 NJH458782 NTD458782 OCZ458782 OMV458782 OWR458782 PGN458782 PQJ458782 QAF458782 QKB458782 QTX458782 RDT458782 RNP458782 RXL458782 SHH458782 SRD458782 TAZ458782 TKV458782 TUR458782 UEN458782 UOJ458782 UYF458782 VIB458782 VRX458782 WBT458782 WLP458782 WVL458782 D524318 IZ524318 SV524318 ACR524318 AMN524318 AWJ524318 BGF524318 BQB524318 BZX524318 CJT524318 CTP524318 DDL524318 DNH524318 DXD524318 EGZ524318 EQV524318 FAR524318 FKN524318 FUJ524318 GEF524318 GOB524318 GXX524318 HHT524318 HRP524318 IBL524318 ILH524318 IVD524318 JEZ524318 JOV524318 JYR524318 KIN524318 KSJ524318 LCF524318 LMB524318 LVX524318 MFT524318 MPP524318 MZL524318 NJH524318 NTD524318 OCZ524318 OMV524318 OWR524318 PGN524318 PQJ524318 QAF524318 QKB524318 QTX524318 RDT524318 RNP524318 RXL524318 SHH524318 SRD524318 TAZ524318 TKV524318 TUR524318 UEN524318 UOJ524318 UYF524318 VIB524318 VRX524318 WBT524318 WLP524318 WVL524318 D589854 IZ589854 SV589854 ACR589854 AMN589854 AWJ589854 BGF589854 BQB589854 BZX589854 CJT589854 CTP589854 DDL589854 DNH589854 DXD589854 EGZ589854 EQV589854 FAR589854 FKN589854 FUJ589854 GEF589854 GOB589854 GXX589854 HHT589854 HRP589854 IBL589854 ILH589854 IVD589854 JEZ589854 JOV589854 JYR589854 KIN589854 KSJ589854 LCF589854 LMB589854 LVX589854 MFT589854 MPP589854 MZL589854 NJH589854 NTD589854 OCZ589854 OMV589854 OWR589854 PGN589854 PQJ589854 QAF589854 QKB589854 QTX589854 RDT589854 RNP589854 RXL589854 SHH589854 SRD589854 TAZ589854 TKV589854 TUR589854 UEN589854 UOJ589854 UYF589854 VIB589854 VRX589854 WBT589854 WLP589854 WVL589854 D655390 IZ655390 SV655390 ACR655390 AMN655390 AWJ655390 BGF655390 BQB655390 BZX655390 CJT655390 CTP655390 DDL655390 DNH655390 DXD655390 EGZ655390 EQV655390 FAR655390 FKN655390 FUJ655390 GEF655390 GOB655390 GXX655390 HHT655390 HRP655390 IBL655390 ILH655390 IVD655390 JEZ655390 JOV655390 JYR655390 KIN655390 KSJ655390 LCF655390 LMB655390 LVX655390 MFT655390 MPP655390 MZL655390 NJH655390 NTD655390 OCZ655390 OMV655390 OWR655390 PGN655390 PQJ655390 QAF655390 QKB655390 QTX655390 RDT655390 RNP655390 RXL655390 SHH655390 SRD655390 TAZ655390 TKV655390 TUR655390 UEN655390 UOJ655390 UYF655390 VIB655390 VRX655390 WBT655390 WLP655390 WVL655390 D720926 IZ720926 SV720926 ACR720926 AMN720926 AWJ720926 BGF720926 BQB720926 BZX720926 CJT720926 CTP720926 DDL720926 DNH720926 DXD720926 EGZ720926 EQV720926 FAR720926 FKN720926 FUJ720926 GEF720926 GOB720926 GXX720926 HHT720926 HRP720926 IBL720926 ILH720926 IVD720926 JEZ720926 JOV720926 JYR720926 KIN720926 KSJ720926 LCF720926 LMB720926 LVX720926 MFT720926 MPP720926 MZL720926 NJH720926 NTD720926 OCZ720926 OMV720926 OWR720926 PGN720926 PQJ720926 QAF720926 QKB720926 QTX720926 RDT720926 RNP720926 RXL720926 SHH720926 SRD720926 TAZ720926 TKV720926 TUR720926 UEN720926 UOJ720926 UYF720926 VIB720926 VRX720926 WBT720926 WLP720926 WVL720926 D786462 IZ786462 SV786462 ACR786462 AMN786462 AWJ786462 BGF786462 BQB786462 BZX786462 CJT786462 CTP786462 DDL786462 DNH786462 DXD786462 EGZ786462 EQV786462 FAR786462 FKN786462 FUJ786462 GEF786462 GOB786462 GXX786462 HHT786462 HRP786462 IBL786462 ILH786462 IVD786462 JEZ786462 JOV786462 JYR786462 KIN786462 KSJ786462 LCF786462 LMB786462 LVX786462 MFT786462 MPP786462 MZL786462 NJH786462 NTD786462 OCZ786462 OMV786462 OWR786462 PGN786462 PQJ786462 QAF786462 QKB786462 QTX786462 RDT786462 RNP786462 RXL786462 SHH786462 SRD786462 TAZ786462 TKV786462 TUR786462 UEN786462 UOJ786462 UYF786462 VIB786462 VRX786462 WBT786462 WLP786462 WVL786462 D851998 IZ851998 SV851998 ACR851998 AMN851998 AWJ851998 BGF851998 BQB851998 BZX851998 CJT851998 CTP851998 DDL851998 DNH851998 DXD851998 EGZ851998 EQV851998 FAR851998 FKN851998 FUJ851998 GEF851998 GOB851998 GXX851998 HHT851998 HRP851998 IBL851998 ILH851998 IVD851998 JEZ851998 JOV851998 JYR851998 KIN851998 KSJ851998 LCF851998 LMB851998 LVX851998 MFT851998 MPP851998 MZL851998 NJH851998 NTD851998 OCZ851998 OMV851998 OWR851998 PGN851998 PQJ851998 QAF851998 QKB851998 QTX851998 RDT851998 RNP851998 RXL851998 SHH851998 SRD851998 TAZ851998 TKV851998 TUR851998 UEN851998 UOJ851998 UYF851998 VIB851998 VRX851998 WBT851998 WLP851998 WVL851998 D917534 IZ917534 SV917534 ACR917534 AMN917534 AWJ917534 BGF917534 BQB917534 BZX917534 CJT917534 CTP917534 DDL917534 DNH917534 DXD917534 EGZ917534 EQV917534 FAR917534 FKN917534 FUJ917534 GEF917534 GOB917534 GXX917534 HHT917534 HRP917534 IBL917534 ILH917534 IVD917534 JEZ917534 JOV917534 JYR917534 KIN917534 KSJ917534 LCF917534 LMB917534 LVX917534 MFT917534 MPP917534 MZL917534 NJH917534 NTD917534 OCZ917534 OMV917534 OWR917534 PGN917534 PQJ917534 QAF917534 QKB917534 QTX917534 RDT917534 RNP917534 RXL917534 SHH917534 SRD917534 TAZ917534 TKV917534 TUR917534 UEN917534 UOJ917534 UYF917534 VIB917534 VRX917534 WBT917534 WLP917534 WVL917534 D983070 IZ983070 SV983070 ACR983070 AMN983070 AWJ983070 BGF983070 BQB983070 BZX983070 CJT983070 CTP983070 DDL983070 DNH983070 DXD983070 EGZ983070 EQV983070 FAR983070 FKN983070 FUJ983070 GEF983070 GOB983070 GXX983070 HHT983070 HRP983070 IBL983070 ILH983070 IVD983070 JEZ983070 JOV983070 JYR983070 KIN983070 KSJ983070 LCF983070 LMB983070 LVX983070 MFT983070 MPP983070 MZL983070 NJH983070 NTD983070 OCZ983070 OMV983070 OWR983070 PGN983070 PQJ983070 QAF983070 QKB983070 QTX983070 RDT983070 RNP983070 RXL983070 SHH983070 SRD983070 TAZ983070 TKV983070 TUR983070 UEN983070 UOJ983070 UYF983070 VIB983070 VRX983070 WBT983070 WLP983070 WVL983070 D39:D41 IZ39:IZ41 SV39:SV41 ACR39:ACR41 AMN39:AMN41 AWJ39:AWJ41 BGF39:BGF41 BQB39:BQB41 BZX39:BZX41 CJT39:CJT41 CTP39:CTP41 DDL39:DDL41 DNH39:DNH41 DXD39:DXD41 EGZ39:EGZ41 EQV39:EQV41 FAR39:FAR41 FKN39:FKN41 FUJ39:FUJ41 GEF39:GEF41 GOB39:GOB41 GXX39:GXX41 HHT39:HHT41 HRP39:HRP41 IBL39:IBL41 ILH39:ILH41 IVD39:IVD41 JEZ39:JEZ41 JOV39:JOV41 JYR39:JYR41 KIN39:KIN41 KSJ39:KSJ41 LCF39:LCF41 LMB39:LMB41 LVX39:LVX41 MFT39:MFT41 MPP39:MPP41 MZL39:MZL41 NJH39:NJH41 NTD39:NTD41 OCZ39:OCZ41 OMV39:OMV41 OWR39:OWR41 PGN39:PGN41 PQJ39:PQJ41 QAF39:QAF41 QKB39:QKB41 QTX39:QTX41 RDT39:RDT41 RNP39:RNP41 RXL39:RXL41 SHH39:SHH41 SRD39:SRD41 TAZ39:TAZ41 TKV39:TKV41 TUR39:TUR41 UEN39:UEN41 UOJ39:UOJ41 UYF39:UYF41 VIB39:VIB41 VRX39:VRX41 WBT39:WBT41 WLP39:WLP41 WVL39:WVL41 D65575:D65577 IZ65575:IZ65577 SV65575:SV65577 ACR65575:ACR65577 AMN65575:AMN65577 AWJ65575:AWJ65577 BGF65575:BGF65577 BQB65575:BQB65577 BZX65575:BZX65577 CJT65575:CJT65577 CTP65575:CTP65577 DDL65575:DDL65577 DNH65575:DNH65577 DXD65575:DXD65577 EGZ65575:EGZ65577 EQV65575:EQV65577 FAR65575:FAR65577 FKN65575:FKN65577 FUJ65575:FUJ65577 GEF65575:GEF65577 GOB65575:GOB65577 GXX65575:GXX65577 HHT65575:HHT65577 HRP65575:HRP65577 IBL65575:IBL65577 ILH65575:ILH65577 IVD65575:IVD65577 JEZ65575:JEZ65577 JOV65575:JOV65577 JYR65575:JYR65577 KIN65575:KIN65577 KSJ65575:KSJ65577 LCF65575:LCF65577 LMB65575:LMB65577 LVX65575:LVX65577 MFT65575:MFT65577 MPP65575:MPP65577 MZL65575:MZL65577 NJH65575:NJH65577 NTD65575:NTD65577 OCZ65575:OCZ65577 OMV65575:OMV65577 OWR65575:OWR65577 PGN65575:PGN65577 PQJ65575:PQJ65577 QAF65575:QAF65577 QKB65575:QKB65577 QTX65575:QTX65577 RDT65575:RDT65577 RNP65575:RNP65577 RXL65575:RXL65577 SHH65575:SHH65577 SRD65575:SRD65577 TAZ65575:TAZ65577 TKV65575:TKV65577 TUR65575:TUR65577 UEN65575:UEN65577 UOJ65575:UOJ65577 UYF65575:UYF65577 VIB65575:VIB65577 VRX65575:VRX65577 WBT65575:WBT65577 WLP65575:WLP65577 WVL65575:WVL65577 D131111:D131113 IZ131111:IZ131113 SV131111:SV131113 ACR131111:ACR131113 AMN131111:AMN131113 AWJ131111:AWJ131113 BGF131111:BGF131113 BQB131111:BQB131113 BZX131111:BZX131113 CJT131111:CJT131113 CTP131111:CTP131113 DDL131111:DDL131113 DNH131111:DNH131113 DXD131111:DXD131113 EGZ131111:EGZ131113 EQV131111:EQV131113 FAR131111:FAR131113 FKN131111:FKN131113 FUJ131111:FUJ131113 GEF131111:GEF131113 GOB131111:GOB131113 GXX131111:GXX131113 HHT131111:HHT131113 HRP131111:HRP131113 IBL131111:IBL131113 ILH131111:ILH131113 IVD131111:IVD131113 JEZ131111:JEZ131113 JOV131111:JOV131113 JYR131111:JYR131113 KIN131111:KIN131113 KSJ131111:KSJ131113 LCF131111:LCF131113 LMB131111:LMB131113 LVX131111:LVX131113 MFT131111:MFT131113 MPP131111:MPP131113 MZL131111:MZL131113 NJH131111:NJH131113 NTD131111:NTD131113 OCZ131111:OCZ131113 OMV131111:OMV131113 OWR131111:OWR131113 PGN131111:PGN131113 PQJ131111:PQJ131113 QAF131111:QAF131113 QKB131111:QKB131113 QTX131111:QTX131113 RDT131111:RDT131113 RNP131111:RNP131113 RXL131111:RXL131113 SHH131111:SHH131113 SRD131111:SRD131113 TAZ131111:TAZ131113 TKV131111:TKV131113 TUR131111:TUR131113 UEN131111:UEN131113 UOJ131111:UOJ131113 UYF131111:UYF131113 VIB131111:VIB131113 VRX131111:VRX131113 WBT131111:WBT131113 WLP131111:WLP131113 WVL131111:WVL131113 D196647:D196649 IZ196647:IZ196649 SV196647:SV196649 ACR196647:ACR196649 AMN196647:AMN196649 AWJ196647:AWJ196649 BGF196647:BGF196649 BQB196647:BQB196649 BZX196647:BZX196649 CJT196647:CJT196649 CTP196647:CTP196649 DDL196647:DDL196649 DNH196647:DNH196649 DXD196647:DXD196649 EGZ196647:EGZ196649 EQV196647:EQV196649 FAR196647:FAR196649 FKN196647:FKN196649 FUJ196647:FUJ196649 GEF196647:GEF196649 GOB196647:GOB196649 GXX196647:GXX196649 HHT196647:HHT196649 HRP196647:HRP196649 IBL196647:IBL196649 ILH196647:ILH196649 IVD196647:IVD196649 JEZ196647:JEZ196649 JOV196647:JOV196649 JYR196647:JYR196649 KIN196647:KIN196649 KSJ196647:KSJ196649 LCF196647:LCF196649 LMB196647:LMB196649 LVX196647:LVX196649 MFT196647:MFT196649 MPP196647:MPP196649 MZL196647:MZL196649 NJH196647:NJH196649 NTD196647:NTD196649 OCZ196647:OCZ196649 OMV196647:OMV196649 OWR196647:OWR196649 PGN196647:PGN196649 PQJ196647:PQJ196649 QAF196647:QAF196649 QKB196647:QKB196649 QTX196647:QTX196649 RDT196647:RDT196649 RNP196647:RNP196649 RXL196647:RXL196649 SHH196647:SHH196649 SRD196647:SRD196649 TAZ196647:TAZ196649 TKV196647:TKV196649 TUR196647:TUR196649 UEN196647:UEN196649 UOJ196647:UOJ196649 UYF196647:UYF196649 VIB196647:VIB196649 VRX196647:VRX196649 WBT196647:WBT196649 WLP196647:WLP196649 WVL196647:WVL196649 D262183:D262185 IZ262183:IZ262185 SV262183:SV262185 ACR262183:ACR262185 AMN262183:AMN262185 AWJ262183:AWJ262185 BGF262183:BGF262185 BQB262183:BQB262185 BZX262183:BZX262185 CJT262183:CJT262185 CTP262183:CTP262185 DDL262183:DDL262185 DNH262183:DNH262185 DXD262183:DXD262185 EGZ262183:EGZ262185 EQV262183:EQV262185 FAR262183:FAR262185 FKN262183:FKN262185 FUJ262183:FUJ262185 GEF262183:GEF262185 GOB262183:GOB262185 GXX262183:GXX262185 HHT262183:HHT262185 HRP262183:HRP262185 IBL262183:IBL262185 ILH262183:ILH262185 IVD262183:IVD262185 JEZ262183:JEZ262185 JOV262183:JOV262185 JYR262183:JYR262185 KIN262183:KIN262185 KSJ262183:KSJ262185 LCF262183:LCF262185 LMB262183:LMB262185 LVX262183:LVX262185 MFT262183:MFT262185 MPP262183:MPP262185 MZL262183:MZL262185 NJH262183:NJH262185 NTD262183:NTD262185 OCZ262183:OCZ262185 OMV262183:OMV262185 OWR262183:OWR262185 PGN262183:PGN262185 PQJ262183:PQJ262185 QAF262183:QAF262185 QKB262183:QKB262185 QTX262183:QTX262185 RDT262183:RDT262185 RNP262183:RNP262185 RXL262183:RXL262185 SHH262183:SHH262185 SRD262183:SRD262185 TAZ262183:TAZ262185 TKV262183:TKV262185 TUR262183:TUR262185 UEN262183:UEN262185 UOJ262183:UOJ262185 UYF262183:UYF262185 VIB262183:VIB262185 VRX262183:VRX262185 WBT262183:WBT262185 WLP262183:WLP262185 WVL262183:WVL262185 D327719:D327721 IZ327719:IZ327721 SV327719:SV327721 ACR327719:ACR327721 AMN327719:AMN327721 AWJ327719:AWJ327721 BGF327719:BGF327721 BQB327719:BQB327721 BZX327719:BZX327721 CJT327719:CJT327721 CTP327719:CTP327721 DDL327719:DDL327721 DNH327719:DNH327721 DXD327719:DXD327721 EGZ327719:EGZ327721 EQV327719:EQV327721 FAR327719:FAR327721 FKN327719:FKN327721 FUJ327719:FUJ327721 GEF327719:GEF327721 GOB327719:GOB327721 GXX327719:GXX327721 HHT327719:HHT327721 HRP327719:HRP327721 IBL327719:IBL327721 ILH327719:ILH327721 IVD327719:IVD327721 JEZ327719:JEZ327721 JOV327719:JOV327721 JYR327719:JYR327721 KIN327719:KIN327721 KSJ327719:KSJ327721 LCF327719:LCF327721 LMB327719:LMB327721 LVX327719:LVX327721 MFT327719:MFT327721 MPP327719:MPP327721 MZL327719:MZL327721 NJH327719:NJH327721 NTD327719:NTD327721 OCZ327719:OCZ327721 OMV327719:OMV327721 OWR327719:OWR327721 PGN327719:PGN327721 PQJ327719:PQJ327721 QAF327719:QAF327721 QKB327719:QKB327721 QTX327719:QTX327721 RDT327719:RDT327721 RNP327719:RNP327721 RXL327719:RXL327721 SHH327719:SHH327721 SRD327719:SRD327721 TAZ327719:TAZ327721 TKV327719:TKV327721 TUR327719:TUR327721 UEN327719:UEN327721 UOJ327719:UOJ327721 UYF327719:UYF327721 VIB327719:VIB327721 VRX327719:VRX327721 WBT327719:WBT327721 WLP327719:WLP327721 WVL327719:WVL327721 D393255:D393257 IZ393255:IZ393257 SV393255:SV393257 ACR393255:ACR393257 AMN393255:AMN393257 AWJ393255:AWJ393257 BGF393255:BGF393257 BQB393255:BQB393257 BZX393255:BZX393257 CJT393255:CJT393257 CTP393255:CTP393257 DDL393255:DDL393257 DNH393255:DNH393257 DXD393255:DXD393257 EGZ393255:EGZ393257 EQV393255:EQV393257 FAR393255:FAR393257 FKN393255:FKN393257 FUJ393255:FUJ393257 GEF393255:GEF393257 GOB393255:GOB393257 GXX393255:GXX393257 HHT393255:HHT393257 HRP393255:HRP393257 IBL393255:IBL393257 ILH393255:ILH393257 IVD393255:IVD393257 JEZ393255:JEZ393257 JOV393255:JOV393257 JYR393255:JYR393257 KIN393255:KIN393257 KSJ393255:KSJ393257 LCF393255:LCF393257 LMB393255:LMB393257 LVX393255:LVX393257 MFT393255:MFT393257 MPP393255:MPP393257 MZL393255:MZL393257 NJH393255:NJH393257 NTD393255:NTD393257 OCZ393255:OCZ393257 OMV393255:OMV393257 OWR393255:OWR393257 PGN393255:PGN393257 PQJ393255:PQJ393257 QAF393255:QAF393257 QKB393255:QKB393257 QTX393255:QTX393257 RDT393255:RDT393257 RNP393255:RNP393257 RXL393255:RXL393257 SHH393255:SHH393257 SRD393255:SRD393257 TAZ393255:TAZ393257 TKV393255:TKV393257 TUR393255:TUR393257 UEN393255:UEN393257 UOJ393255:UOJ393257 UYF393255:UYF393257 VIB393255:VIB393257 VRX393255:VRX393257 WBT393255:WBT393257 WLP393255:WLP393257 WVL393255:WVL393257 D458791:D458793 IZ458791:IZ458793 SV458791:SV458793 ACR458791:ACR458793 AMN458791:AMN458793 AWJ458791:AWJ458793 BGF458791:BGF458793 BQB458791:BQB458793 BZX458791:BZX458793 CJT458791:CJT458793 CTP458791:CTP458793 DDL458791:DDL458793 DNH458791:DNH458793 DXD458791:DXD458793 EGZ458791:EGZ458793 EQV458791:EQV458793 FAR458791:FAR458793 FKN458791:FKN458793 FUJ458791:FUJ458793 GEF458791:GEF458793 GOB458791:GOB458793 GXX458791:GXX458793 HHT458791:HHT458793 HRP458791:HRP458793 IBL458791:IBL458793 ILH458791:ILH458793 IVD458791:IVD458793 JEZ458791:JEZ458793 JOV458791:JOV458793 JYR458791:JYR458793 KIN458791:KIN458793 KSJ458791:KSJ458793 LCF458791:LCF458793 LMB458791:LMB458793 LVX458791:LVX458793 MFT458791:MFT458793 MPP458791:MPP458793 MZL458791:MZL458793 NJH458791:NJH458793 NTD458791:NTD458793 OCZ458791:OCZ458793 OMV458791:OMV458793 OWR458791:OWR458793 PGN458791:PGN458793 PQJ458791:PQJ458793 QAF458791:QAF458793 QKB458791:QKB458793 QTX458791:QTX458793 RDT458791:RDT458793 RNP458791:RNP458793 RXL458791:RXL458793 SHH458791:SHH458793 SRD458791:SRD458793 TAZ458791:TAZ458793 TKV458791:TKV458793 TUR458791:TUR458793 UEN458791:UEN458793 UOJ458791:UOJ458793 UYF458791:UYF458793 VIB458791:VIB458793 VRX458791:VRX458793 WBT458791:WBT458793 WLP458791:WLP458793 WVL458791:WVL458793 D524327:D524329 IZ524327:IZ524329 SV524327:SV524329 ACR524327:ACR524329 AMN524327:AMN524329 AWJ524327:AWJ524329 BGF524327:BGF524329 BQB524327:BQB524329 BZX524327:BZX524329 CJT524327:CJT524329 CTP524327:CTP524329 DDL524327:DDL524329 DNH524327:DNH524329 DXD524327:DXD524329 EGZ524327:EGZ524329 EQV524327:EQV524329 FAR524327:FAR524329 FKN524327:FKN524329 FUJ524327:FUJ524329 GEF524327:GEF524329 GOB524327:GOB524329 GXX524327:GXX524329 HHT524327:HHT524329 HRP524327:HRP524329 IBL524327:IBL524329 ILH524327:ILH524329 IVD524327:IVD524329 JEZ524327:JEZ524329 JOV524327:JOV524329 JYR524327:JYR524329 KIN524327:KIN524329 KSJ524327:KSJ524329 LCF524327:LCF524329 LMB524327:LMB524329 LVX524327:LVX524329 MFT524327:MFT524329 MPP524327:MPP524329 MZL524327:MZL524329 NJH524327:NJH524329 NTD524327:NTD524329 OCZ524327:OCZ524329 OMV524327:OMV524329 OWR524327:OWR524329 PGN524327:PGN524329 PQJ524327:PQJ524329 QAF524327:QAF524329 QKB524327:QKB524329 QTX524327:QTX524329 RDT524327:RDT524329 RNP524327:RNP524329 RXL524327:RXL524329 SHH524327:SHH524329 SRD524327:SRD524329 TAZ524327:TAZ524329 TKV524327:TKV524329 TUR524327:TUR524329 UEN524327:UEN524329 UOJ524327:UOJ524329 UYF524327:UYF524329 VIB524327:VIB524329 VRX524327:VRX524329 WBT524327:WBT524329 WLP524327:WLP524329 WVL524327:WVL524329 D589863:D589865 IZ589863:IZ589865 SV589863:SV589865 ACR589863:ACR589865 AMN589863:AMN589865 AWJ589863:AWJ589865 BGF589863:BGF589865 BQB589863:BQB589865 BZX589863:BZX589865 CJT589863:CJT589865 CTP589863:CTP589865 DDL589863:DDL589865 DNH589863:DNH589865 DXD589863:DXD589865 EGZ589863:EGZ589865 EQV589863:EQV589865 FAR589863:FAR589865 FKN589863:FKN589865 FUJ589863:FUJ589865 GEF589863:GEF589865 GOB589863:GOB589865 GXX589863:GXX589865 HHT589863:HHT589865 HRP589863:HRP589865 IBL589863:IBL589865 ILH589863:ILH589865 IVD589863:IVD589865 JEZ589863:JEZ589865 JOV589863:JOV589865 JYR589863:JYR589865 KIN589863:KIN589865 KSJ589863:KSJ589865 LCF589863:LCF589865 LMB589863:LMB589865 LVX589863:LVX589865 MFT589863:MFT589865 MPP589863:MPP589865 MZL589863:MZL589865 NJH589863:NJH589865 NTD589863:NTD589865 OCZ589863:OCZ589865 OMV589863:OMV589865 OWR589863:OWR589865 PGN589863:PGN589865 PQJ589863:PQJ589865 QAF589863:QAF589865 QKB589863:QKB589865 QTX589863:QTX589865 RDT589863:RDT589865 RNP589863:RNP589865 RXL589863:RXL589865 SHH589863:SHH589865 SRD589863:SRD589865 TAZ589863:TAZ589865 TKV589863:TKV589865 TUR589863:TUR589865 UEN589863:UEN589865 UOJ589863:UOJ589865 UYF589863:UYF589865 VIB589863:VIB589865 VRX589863:VRX589865 WBT589863:WBT589865 WLP589863:WLP589865 WVL589863:WVL589865 D655399:D655401 IZ655399:IZ655401 SV655399:SV655401 ACR655399:ACR655401 AMN655399:AMN655401 AWJ655399:AWJ655401 BGF655399:BGF655401 BQB655399:BQB655401 BZX655399:BZX655401 CJT655399:CJT655401 CTP655399:CTP655401 DDL655399:DDL655401 DNH655399:DNH655401 DXD655399:DXD655401 EGZ655399:EGZ655401 EQV655399:EQV655401 FAR655399:FAR655401 FKN655399:FKN655401 FUJ655399:FUJ655401 GEF655399:GEF655401 GOB655399:GOB655401 GXX655399:GXX655401 HHT655399:HHT655401 HRP655399:HRP655401 IBL655399:IBL655401 ILH655399:ILH655401 IVD655399:IVD655401 JEZ655399:JEZ655401 JOV655399:JOV655401 JYR655399:JYR655401 KIN655399:KIN655401 KSJ655399:KSJ655401 LCF655399:LCF655401 LMB655399:LMB655401 LVX655399:LVX655401 MFT655399:MFT655401 MPP655399:MPP655401 MZL655399:MZL655401 NJH655399:NJH655401 NTD655399:NTD655401 OCZ655399:OCZ655401 OMV655399:OMV655401 OWR655399:OWR655401 PGN655399:PGN655401 PQJ655399:PQJ655401 QAF655399:QAF655401 QKB655399:QKB655401 QTX655399:QTX655401 RDT655399:RDT655401 RNP655399:RNP655401 RXL655399:RXL655401 SHH655399:SHH655401 SRD655399:SRD655401 TAZ655399:TAZ655401 TKV655399:TKV655401 TUR655399:TUR655401 UEN655399:UEN655401 UOJ655399:UOJ655401 UYF655399:UYF655401 VIB655399:VIB655401 VRX655399:VRX655401 WBT655399:WBT655401 WLP655399:WLP655401 WVL655399:WVL655401 D720935:D720937 IZ720935:IZ720937 SV720935:SV720937 ACR720935:ACR720937 AMN720935:AMN720937 AWJ720935:AWJ720937 BGF720935:BGF720937 BQB720935:BQB720937 BZX720935:BZX720937 CJT720935:CJT720937 CTP720935:CTP720937 DDL720935:DDL720937 DNH720935:DNH720937 DXD720935:DXD720937 EGZ720935:EGZ720937 EQV720935:EQV720937 FAR720935:FAR720937 FKN720935:FKN720937 FUJ720935:FUJ720937 GEF720935:GEF720937 GOB720935:GOB720937 GXX720935:GXX720937 HHT720935:HHT720937 HRP720935:HRP720937 IBL720935:IBL720937 ILH720935:ILH720937 IVD720935:IVD720937 JEZ720935:JEZ720937 JOV720935:JOV720937 JYR720935:JYR720937 KIN720935:KIN720937 KSJ720935:KSJ720937 LCF720935:LCF720937 LMB720935:LMB720937 LVX720935:LVX720937 MFT720935:MFT720937 MPP720935:MPP720937 MZL720935:MZL720937 NJH720935:NJH720937 NTD720935:NTD720937 OCZ720935:OCZ720937 OMV720935:OMV720937 OWR720935:OWR720937 PGN720935:PGN720937 PQJ720935:PQJ720937 QAF720935:QAF720937 QKB720935:QKB720937 QTX720935:QTX720937 RDT720935:RDT720937 RNP720935:RNP720937 RXL720935:RXL720937 SHH720935:SHH720937 SRD720935:SRD720937 TAZ720935:TAZ720937 TKV720935:TKV720937 TUR720935:TUR720937 UEN720935:UEN720937 UOJ720935:UOJ720937 UYF720935:UYF720937 VIB720935:VIB720937 VRX720935:VRX720937 WBT720935:WBT720937 WLP720935:WLP720937 WVL720935:WVL720937 D786471:D786473 IZ786471:IZ786473 SV786471:SV786473 ACR786471:ACR786473 AMN786471:AMN786473 AWJ786471:AWJ786473 BGF786471:BGF786473 BQB786471:BQB786473 BZX786471:BZX786473 CJT786471:CJT786473 CTP786471:CTP786473 DDL786471:DDL786473 DNH786471:DNH786473 DXD786471:DXD786473 EGZ786471:EGZ786473 EQV786471:EQV786473 FAR786471:FAR786473 FKN786471:FKN786473 FUJ786471:FUJ786473 GEF786471:GEF786473 GOB786471:GOB786473 GXX786471:GXX786473 HHT786471:HHT786473 HRP786471:HRP786473 IBL786471:IBL786473 ILH786471:ILH786473 IVD786471:IVD786473 JEZ786471:JEZ786473 JOV786471:JOV786473 JYR786471:JYR786473 KIN786471:KIN786473 KSJ786471:KSJ786473 LCF786471:LCF786473 LMB786471:LMB786473 LVX786471:LVX786473 MFT786471:MFT786473 MPP786471:MPP786473 MZL786471:MZL786473 NJH786471:NJH786473 NTD786471:NTD786473 OCZ786471:OCZ786473 OMV786471:OMV786473 OWR786471:OWR786473 PGN786471:PGN786473 PQJ786471:PQJ786473 QAF786471:QAF786473 QKB786471:QKB786473 QTX786471:QTX786473 RDT786471:RDT786473 RNP786471:RNP786473 RXL786471:RXL786473 SHH786471:SHH786473 SRD786471:SRD786473 TAZ786471:TAZ786473 TKV786471:TKV786473 TUR786471:TUR786473 UEN786471:UEN786473 UOJ786471:UOJ786473 UYF786471:UYF786473 VIB786471:VIB786473 VRX786471:VRX786473 WBT786471:WBT786473 WLP786471:WLP786473 WVL786471:WVL786473 D852007:D852009 IZ852007:IZ852009 SV852007:SV852009 ACR852007:ACR852009 AMN852007:AMN852009 AWJ852007:AWJ852009 BGF852007:BGF852009 BQB852007:BQB852009 BZX852007:BZX852009 CJT852007:CJT852009 CTP852007:CTP852009 DDL852007:DDL852009 DNH852007:DNH852009 DXD852007:DXD852009 EGZ852007:EGZ852009 EQV852007:EQV852009 FAR852007:FAR852009 FKN852007:FKN852009 FUJ852007:FUJ852009 GEF852007:GEF852009 GOB852007:GOB852009 GXX852007:GXX852009 HHT852007:HHT852009 HRP852007:HRP852009 IBL852007:IBL852009 ILH852007:ILH852009 IVD852007:IVD852009 JEZ852007:JEZ852009 JOV852007:JOV852009 JYR852007:JYR852009 KIN852007:KIN852009 KSJ852007:KSJ852009 LCF852007:LCF852009 LMB852007:LMB852009 LVX852007:LVX852009 MFT852007:MFT852009 MPP852007:MPP852009 MZL852007:MZL852009 NJH852007:NJH852009 NTD852007:NTD852009 OCZ852007:OCZ852009 OMV852007:OMV852009 OWR852007:OWR852009 PGN852007:PGN852009 PQJ852007:PQJ852009 QAF852007:QAF852009 QKB852007:QKB852009 QTX852007:QTX852009 RDT852007:RDT852009 RNP852007:RNP852009 RXL852007:RXL852009 SHH852007:SHH852009 SRD852007:SRD852009 TAZ852007:TAZ852009 TKV852007:TKV852009 TUR852007:TUR852009 UEN852007:UEN852009 UOJ852007:UOJ852009 UYF852007:UYF852009 VIB852007:VIB852009 VRX852007:VRX852009 WBT852007:WBT852009 WLP852007:WLP852009 WVL852007:WVL852009 D917543:D917545 IZ917543:IZ917545 SV917543:SV917545 ACR917543:ACR917545 AMN917543:AMN917545 AWJ917543:AWJ917545 BGF917543:BGF917545 BQB917543:BQB917545 BZX917543:BZX917545 CJT917543:CJT917545 CTP917543:CTP917545 DDL917543:DDL917545 DNH917543:DNH917545 DXD917543:DXD917545 EGZ917543:EGZ917545 EQV917543:EQV917545 FAR917543:FAR917545 FKN917543:FKN917545 FUJ917543:FUJ917545 GEF917543:GEF917545 GOB917543:GOB917545 GXX917543:GXX917545 HHT917543:HHT917545 HRP917543:HRP917545 IBL917543:IBL917545 ILH917543:ILH917545 IVD917543:IVD917545 JEZ917543:JEZ917545 JOV917543:JOV917545 JYR917543:JYR917545 KIN917543:KIN917545 KSJ917543:KSJ917545 LCF917543:LCF917545 LMB917543:LMB917545 LVX917543:LVX917545 MFT917543:MFT917545 MPP917543:MPP917545 MZL917543:MZL917545 NJH917543:NJH917545 NTD917543:NTD917545 OCZ917543:OCZ917545 OMV917543:OMV917545 OWR917543:OWR917545 PGN917543:PGN917545 PQJ917543:PQJ917545 QAF917543:QAF917545 QKB917543:QKB917545 QTX917543:QTX917545 RDT917543:RDT917545 RNP917543:RNP917545 RXL917543:RXL917545 SHH917543:SHH917545 SRD917543:SRD917545 TAZ917543:TAZ917545 TKV917543:TKV917545 TUR917543:TUR917545 UEN917543:UEN917545 UOJ917543:UOJ917545 UYF917543:UYF917545 VIB917543:VIB917545 VRX917543:VRX917545 WBT917543:WBT917545 WLP917543:WLP917545 WVL917543:WVL917545 D983079:D983081 IZ983079:IZ983081 SV983079:SV983081 ACR983079:ACR983081 AMN983079:AMN983081 AWJ983079:AWJ983081 BGF983079:BGF983081 BQB983079:BQB983081 BZX983079:BZX983081 CJT983079:CJT983081 CTP983079:CTP983081 DDL983079:DDL983081 DNH983079:DNH983081 DXD983079:DXD983081 EGZ983079:EGZ983081 EQV983079:EQV983081 FAR983079:FAR983081 FKN983079:FKN983081 FUJ983079:FUJ983081 GEF983079:GEF983081 GOB983079:GOB983081 GXX983079:GXX983081 HHT983079:HHT983081 HRP983079:HRP983081 IBL983079:IBL983081 ILH983079:ILH983081 IVD983079:IVD983081 JEZ983079:JEZ983081 JOV983079:JOV983081 JYR983079:JYR983081 KIN983079:KIN983081 KSJ983079:KSJ983081 LCF983079:LCF983081 LMB983079:LMB983081 LVX983079:LVX983081 MFT983079:MFT983081 MPP983079:MPP983081 MZL983079:MZL983081 NJH983079:NJH983081 NTD983079:NTD983081 OCZ983079:OCZ983081 OMV983079:OMV983081 OWR983079:OWR983081 PGN983079:PGN983081 PQJ983079:PQJ983081 QAF983079:QAF983081 QKB983079:QKB983081 QTX983079:QTX983081 RDT983079:RDT983081 RNP983079:RNP983081 RXL983079:RXL983081 SHH983079:SHH983081 SRD983079:SRD983081 TAZ983079:TAZ983081 TKV983079:TKV983081 TUR983079:TUR983081 UEN983079:UEN983081 UOJ983079:UOJ983081 UYF983079:UYF983081 VIB983079:VIB983081 VRX983079:VRX983081 WBT983079:WBT983081 WLP983079:WLP983081 WVL983079:WVL983081 D56:D58 IZ56:IZ58 SV56:SV58 ACR56:ACR58 AMN56:AMN58 AWJ56:AWJ58 BGF56:BGF58 BQB56:BQB58 BZX56:BZX58 CJT56:CJT58 CTP56:CTP58 DDL56:DDL58 DNH56:DNH58 DXD56:DXD58 EGZ56:EGZ58 EQV56:EQV58 FAR56:FAR58 FKN56:FKN58 FUJ56:FUJ58 GEF56:GEF58 GOB56:GOB58 GXX56:GXX58 HHT56:HHT58 HRP56:HRP58 IBL56:IBL58 ILH56:ILH58 IVD56:IVD58 JEZ56:JEZ58 JOV56:JOV58 JYR56:JYR58 KIN56:KIN58 KSJ56:KSJ58 LCF56:LCF58 LMB56:LMB58 LVX56:LVX58 MFT56:MFT58 MPP56:MPP58 MZL56:MZL58 NJH56:NJH58 NTD56:NTD58 OCZ56:OCZ58 OMV56:OMV58 OWR56:OWR58 PGN56:PGN58 PQJ56:PQJ58 QAF56:QAF58 QKB56:QKB58 QTX56:QTX58 RDT56:RDT58 RNP56:RNP58 RXL56:RXL58 SHH56:SHH58 SRD56:SRD58 TAZ56:TAZ58 TKV56:TKV58 TUR56:TUR58 UEN56:UEN58 UOJ56:UOJ58 UYF56:UYF58 VIB56:VIB58 VRX56:VRX58 WBT56:WBT58 WLP56:WLP58 WVL56:WVL58 D65592:D65594 IZ65592:IZ65594 SV65592:SV65594 ACR65592:ACR65594 AMN65592:AMN65594 AWJ65592:AWJ65594 BGF65592:BGF65594 BQB65592:BQB65594 BZX65592:BZX65594 CJT65592:CJT65594 CTP65592:CTP65594 DDL65592:DDL65594 DNH65592:DNH65594 DXD65592:DXD65594 EGZ65592:EGZ65594 EQV65592:EQV65594 FAR65592:FAR65594 FKN65592:FKN65594 FUJ65592:FUJ65594 GEF65592:GEF65594 GOB65592:GOB65594 GXX65592:GXX65594 HHT65592:HHT65594 HRP65592:HRP65594 IBL65592:IBL65594 ILH65592:ILH65594 IVD65592:IVD65594 JEZ65592:JEZ65594 JOV65592:JOV65594 JYR65592:JYR65594 KIN65592:KIN65594 KSJ65592:KSJ65594 LCF65592:LCF65594 LMB65592:LMB65594 LVX65592:LVX65594 MFT65592:MFT65594 MPP65592:MPP65594 MZL65592:MZL65594 NJH65592:NJH65594 NTD65592:NTD65594 OCZ65592:OCZ65594 OMV65592:OMV65594 OWR65592:OWR65594 PGN65592:PGN65594 PQJ65592:PQJ65594 QAF65592:QAF65594 QKB65592:QKB65594 QTX65592:QTX65594 RDT65592:RDT65594 RNP65592:RNP65594 RXL65592:RXL65594 SHH65592:SHH65594 SRD65592:SRD65594 TAZ65592:TAZ65594 TKV65592:TKV65594 TUR65592:TUR65594 UEN65592:UEN65594 UOJ65592:UOJ65594 UYF65592:UYF65594 VIB65592:VIB65594 VRX65592:VRX65594 WBT65592:WBT65594 WLP65592:WLP65594 WVL65592:WVL65594 D131128:D131130 IZ131128:IZ131130 SV131128:SV131130 ACR131128:ACR131130 AMN131128:AMN131130 AWJ131128:AWJ131130 BGF131128:BGF131130 BQB131128:BQB131130 BZX131128:BZX131130 CJT131128:CJT131130 CTP131128:CTP131130 DDL131128:DDL131130 DNH131128:DNH131130 DXD131128:DXD131130 EGZ131128:EGZ131130 EQV131128:EQV131130 FAR131128:FAR131130 FKN131128:FKN131130 FUJ131128:FUJ131130 GEF131128:GEF131130 GOB131128:GOB131130 GXX131128:GXX131130 HHT131128:HHT131130 HRP131128:HRP131130 IBL131128:IBL131130 ILH131128:ILH131130 IVD131128:IVD131130 JEZ131128:JEZ131130 JOV131128:JOV131130 JYR131128:JYR131130 KIN131128:KIN131130 KSJ131128:KSJ131130 LCF131128:LCF131130 LMB131128:LMB131130 LVX131128:LVX131130 MFT131128:MFT131130 MPP131128:MPP131130 MZL131128:MZL131130 NJH131128:NJH131130 NTD131128:NTD131130 OCZ131128:OCZ131130 OMV131128:OMV131130 OWR131128:OWR131130 PGN131128:PGN131130 PQJ131128:PQJ131130 QAF131128:QAF131130 QKB131128:QKB131130 QTX131128:QTX131130 RDT131128:RDT131130 RNP131128:RNP131130 RXL131128:RXL131130 SHH131128:SHH131130 SRD131128:SRD131130 TAZ131128:TAZ131130 TKV131128:TKV131130 TUR131128:TUR131130 UEN131128:UEN131130 UOJ131128:UOJ131130 UYF131128:UYF131130 VIB131128:VIB131130 VRX131128:VRX131130 WBT131128:WBT131130 WLP131128:WLP131130 WVL131128:WVL131130 D196664:D196666 IZ196664:IZ196666 SV196664:SV196666 ACR196664:ACR196666 AMN196664:AMN196666 AWJ196664:AWJ196666 BGF196664:BGF196666 BQB196664:BQB196666 BZX196664:BZX196666 CJT196664:CJT196666 CTP196664:CTP196666 DDL196664:DDL196666 DNH196664:DNH196666 DXD196664:DXD196666 EGZ196664:EGZ196666 EQV196664:EQV196666 FAR196664:FAR196666 FKN196664:FKN196666 FUJ196664:FUJ196666 GEF196664:GEF196666 GOB196664:GOB196666 GXX196664:GXX196666 HHT196664:HHT196666 HRP196664:HRP196666 IBL196664:IBL196666 ILH196664:ILH196666 IVD196664:IVD196666 JEZ196664:JEZ196666 JOV196664:JOV196666 JYR196664:JYR196666 KIN196664:KIN196666 KSJ196664:KSJ196666 LCF196664:LCF196666 LMB196664:LMB196666 LVX196664:LVX196666 MFT196664:MFT196666 MPP196664:MPP196666 MZL196664:MZL196666 NJH196664:NJH196666 NTD196664:NTD196666 OCZ196664:OCZ196666 OMV196664:OMV196666 OWR196664:OWR196666 PGN196664:PGN196666 PQJ196664:PQJ196666 QAF196664:QAF196666 QKB196664:QKB196666 QTX196664:QTX196666 RDT196664:RDT196666 RNP196664:RNP196666 RXL196664:RXL196666 SHH196664:SHH196666 SRD196664:SRD196666 TAZ196664:TAZ196666 TKV196664:TKV196666 TUR196664:TUR196666 UEN196664:UEN196666 UOJ196664:UOJ196666 UYF196664:UYF196666 VIB196664:VIB196666 VRX196664:VRX196666 WBT196664:WBT196666 WLP196664:WLP196666 WVL196664:WVL196666 D262200:D262202 IZ262200:IZ262202 SV262200:SV262202 ACR262200:ACR262202 AMN262200:AMN262202 AWJ262200:AWJ262202 BGF262200:BGF262202 BQB262200:BQB262202 BZX262200:BZX262202 CJT262200:CJT262202 CTP262200:CTP262202 DDL262200:DDL262202 DNH262200:DNH262202 DXD262200:DXD262202 EGZ262200:EGZ262202 EQV262200:EQV262202 FAR262200:FAR262202 FKN262200:FKN262202 FUJ262200:FUJ262202 GEF262200:GEF262202 GOB262200:GOB262202 GXX262200:GXX262202 HHT262200:HHT262202 HRP262200:HRP262202 IBL262200:IBL262202 ILH262200:ILH262202 IVD262200:IVD262202 JEZ262200:JEZ262202 JOV262200:JOV262202 JYR262200:JYR262202 KIN262200:KIN262202 KSJ262200:KSJ262202 LCF262200:LCF262202 LMB262200:LMB262202 LVX262200:LVX262202 MFT262200:MFT262202 MPP262200:MPP262202 MZL262200:MZL262202 NJH262200:NJH262202 NTD262200:NTD262202 OCZ262200:OCZ262202 OMV262200:OMV262202 OWR262200:OWR262202 PGN262200:PGN262202 PQJ262200:PQJ262202 QAF262200:QAF262202 QKB262200:QKB262202 QTX262200:QTX262202 RDT262200:RDT262202 RNP262200:RNP262202 RXL262200:RXL262202 SHH262200:SHH262202 SRD262200:SRD262202 TAZ262200:TAZ262202 TKV262200:TKV262202 TUR262200:TUR262202 UEN262200:UEN262202 UOJ262200:UOJ262202 UYF262200:UYF262202 VIB262200:VIB262202 VRX262200:VRX262202 WBT262200:WBT262202 WLP262200:WLP262202 WVL262200:WVL262202 D327736:D327738 IZ327736:IZ327738 SV327736:SV327738 ACR327736:ACR327738 AMN327736:AMN327738 AWJ327736:AWJ327738 BGF327736:BGF327738 BQB327736:BQB327738 BZX327736:BZX327738 CJT327736:CJT327738 CTP327736:CTP327738 DDL327736:DDL327738 DNH327736:DNH327738 DXD327736:DXD327738 EGZ327736:EGZ327738 EQV327736:EQV327738 FAR327736:FAR327738 FKN327736:FKN327738 FUJ327736:FUJ327738 GEF327736:GEF327738 GOB327736:GOB327738 GXX327736:GXX327738 HHT327736:HHT327738 HRP327736:HRP327738 IBL327736:IBL327738 ILH327736:ILH327738 IVD327736:IVD327738 JEZ327736:JEZ327738 JOV327736:JOV327738 JYR327736:JYR327738 KIN327736:KIN327738 KSJ327736:KSJ327738 LCF327736:LCF327738 LMB327736:LMB327738 LVX327736:LVX327738 MFT327736:MFT327738 MPP327736:MPP327738 MZL327736:MZL327738 NJH327736:NJH327738 NTD327736:NTD327738 OCZ327736:OCZ327738 OMV327736:OMV327738 OWR327736:OWR327738 PGN327736:PGN327738 PQJ327736:PQJ327738 QAF327736:QAF327738 QKB327736:QKB327738 QTX327736:QTX327738 RDT327736:RDT327738 RNP327736:RNP327738 RXL327736:RXL327738 SHH327736:SHH327738 SRD327736:SRD327738 TAZ327736:TAZ327738 TKV327736:TKV327738 TUR327736:TUR327738 UEN327736:UEN327738 UOJ327736:UOJ327738 UYF327736:UYF327738 VIB327736:VIB327738 VRX327736:VRX327738 WBT327736:WBT327738 WLP327736:WLP327738 WVL327736:WVL327738 D393272:D393274 IZ393272:IZ393274 SV393272:SV393274 ACR393272:ACR393274 AMN393272:AMN393274 AWJ393272:AWJ393274 BGF393272:BGF393274 BQB393272:BQB393274 BZX393272:BZX393274 CJT393272:CJT393274 CTP393272:CTP393274 DDL393272:DDL393274 DNH393272:DNH393274 DXD393272:DXD393274 EGZ393272:EGZ393274 EQV393272:EQV393274 FAR393272:FAR393274 FKN393272:FKN393274 FUJ393272:FUJ393274 GEF393272:GEF393274 GOB393272:GOB393274 GXX393272:GXX393274 HHT393272:HHT393274 HRP393272:HRP393274 IBL393272:IBL393274 ILH393272:ILH393274 IVD393272:IVD393274 JEZ393272:JEZ393274 JOV393272:JOV393274 JYR393272:JYR393274 KIN393272:KIN393274 KSJ393272:KSJ393274 LCF393272:LCF393274 LMB393272:LMB393274 LVX393272:LVX393274 MFT393272:MFT393274 MPP393272:MPP393274 MZL393272:MZL393274 NJH393272:NJH393274 NTD393272:NTD393274 OCZ393272:OCZ393274 OMV393272:OMV393274 OWR393272:OWR393274 PGN393272:PGN393274 PQJ393272:PQJ393274 QAF393272:QAF393274 QKB393272:QKB393274 QTX393272:QTX393274 RDT393272:RDT393274 RNP393272:RNP393274 RXL393272:RXL393274 SHH393272:SHH393274 SRD393272:SRD393274 TAZ393272:TAZ393274 TKV393272:TKV393274 TUR393272:TUR393274 UEN393272:UEN393274 UOJ393272:UOJ393274 UYF393272:UYF393274 VIB393272:VIB393274 VRX393272:VRX393274 WBT393272:WBT393274 WLP393272:WLP393274 WVL393272:WVL393274 D458808:D458810 IZ458808:IZ458810 SV458808:SV458810 ACR458808:ACR458810 AMN458808:AMN458810 AWJ458808:AWJ458810 BGF458808:BGF458810 BQB458808:BQB458810 BZX458808:BZX458810 CJT458808:CJT458810 CTP458808:CTP458810 DDL458808:DDL458810 DNH458808:DNH458810 DXD458808:DXD458810 EGZ458808:EGZ458810 EQV458808:EQV458810 FAR458808:FAR458810 FKN458808:FKN458810 FUJ458808:FUJ458810 GEF458808:GEF458810 GOB458808:GOB458810 GXX458808:GXX458810 HHT458808:HHT458810 HRP458808:HRP458810 IBL458808:IBL458810 ILH458808:ILH458810 IVD458808:IVD458810 JEZ458808:JEZ458810 JOV458808:JOV458810 JYR458808:JYR458810 KIN458808:KIN458810 KSJ458808:KSJ458810 LCF458808:LCF458810 LMB458808:LMB458810 LVX458808:LVX458810 MFT458808:MFT458810 MPP458808:MPP458810 MZL458808:MZL458810 NJH458808:NJH458810 NTD458808:NTD458810 OCZ458808:OCZ458810 OMV458808:OMV458810 OWR458808:OWR458810 PGN458808:PGN458810 PQJ458808:PQJ458810 QAF458808:QAF458810 QKB458808:QKB458810 QTX458808:QTX458810 RDT458808:RDT458810 RNP458808:RNP458810 RXL458808:RXL458810 SHH458808:SHH458810 SRD458808:SRD458810 TAZ458808:TAZ458810 TKV458808:TKV458810 TUR458808:TUR458810 UEN458808:UEN458810 UOJ458808:UOJ458810 UYF458808:UYF458810 VIB458808:VIB458810 VRX458808:VRX458810 WBT458808:WBT458810 WLP458808:WLP458810 WVL458808:WVL458810 D524344:D524346 IZ524344:IZ524346 SV524344:SV524346 ACR524344:ACR524346 AMN524344:AMN524346 AWJ524344:AWJ524346 BGF524344:BGF524346 BQB524344:BQB524346 BZX524344:BZX524346 CJT524344:CJT524346 CTP524344:CTP524346 DDL524344:DDL524346 DNH524344:DNH524346 DXD524344:DXD524346 EGZ524344:EGZ524346 EQV524344:EQV524346 FAR524344:FAR524346 FKN524344:FKN524346 FUJ524344:FUJ524346 GEF524344:GEF524346 GOB524344:GOB524346 GXX524344:GXX524346 HHT524344:HHT524346 HRP524344:HRP524346 IBL524344:IBL524346 ILH524344:ILH524346 IVD524344:IVD524346 JEZ524344:JEZ524346 JOV524344:JOV524346 JYR524344:JYR524346 KIN524344:KIN524346 KSJ524344:KSJ524346 LCF524344:LCF524346 LMB524344:LMB524346 LVX524344:LVX524346 MFT524344:MFT524346 MPP524344:MPP524346 MZL524344:MZL524346 NJH524344:NJH524346 NTD524344:NTD524346 OCZ524344:OCZ524346 OMV524344:OMV524346 OWR524344:OWR524346 PGN524344:PGN524346 PQJ524344:PQJ524346 QAF524344:QAF524346 QKB524344:QKB524346 QTX524344:QTX524346 RDT524344:RDT524346 RNP524344:RNP524346 RXL524344:RXL524346 SHH524344:SHH524346 SRD524344:SRD524346 TAZ524344:TAZ524346 TKV524344:TKV524346 TUR524344:TUR524346 UEN524344:UEN524346 UOJ524344:UOJ524346 UYF524344:UYF524346 VIB524344:VIB524346 VRX524344:VRX524346 WBT524344:WBT524346 WLP524344:WLP524346 WVL524344:WVL524346 D589880:D589882 IZ589880:IZ589882 SV589880:SV589882 ACR589880:ACR589882 AMN589880:AMN589882 AWJ589880:AWJ589882 BGF589880:BGF589882 BQB589880:BQB589882 BZX589880:BZX589882 CJT589880:CJT589882 CTP589880:CTP589882 DDL589880:DDL589882 DNH589880:DNH589882 DXD589880:DXD589882 EGZ589880:EGZ589882 EQV589880:EQV589882 FAR589880:FAR589882 FKN589880:FKN589882 FUJ589880:FUJ589882 GEF589880:GEF589882 GOB589880:GOB589882 GXX589880:GXX589882 HHT589880:HHT589882 HRP589880:HRP589882 IBL589880:IBL589882 ILH589880:ILH589882 IVD589880:IVD589882 JEZ589880:JEZ589882 JOV589880:JOV589882 JYR589880:JYR589882 KIN589880:KIN589882 KSJ589880:KSJ589882 LCF589880:LCF589882 LMB589880:LMB589882 LVX589880:LVX589882 MFT589880:MFT589882 MPP589880:MPP589882 MZL589880:MZL589882 NJH589880:NJH589882 NTD589880:NTD589882 OCZ589880:OCZ589882 OMV589880:OMV589882 OWR589880:OWR589882 PGN589880:PGN589882 PQJ589880:PQJ589882 QAF589880:QAF589882 QKB589880:QKB589882 QTX589880:QTX589882 RDT589880:RDT589882 RNP589880:RNP589882 RXL589880:RXL589882 SHH589880:SHH589882 SRD589880:SRD589882 TAZ589880:TAZ589882 TKV589880:TKV589882 TUR589880:TUR589882 UEN589880:UEN589882 UOJ589880:UOJ589882 UYF589880:UYF589882 VIB589880:VIB589882 VRX589880:VRX589882 WBT589880:WBT589882 WLP589880:WLP589882 WVL589880:WVL589882 D655416:D655418 IZ655416:IZ655418 SV655416:SV655418 ACR655416:ACR655418 AMN655416:AMN655418 AWJ655416:AWJ655418 BGF655416:BGF655418 BQB655416:BQB655418 BZX655416:BZX655418 CJT655416:CJT655418 CTP655416:CTP655418 DDL655416:DDL655418 DNH655416:DNH655418 DXD655416:DXD655418 EGZ655416:EGZ655418 EQV655416:EQV655418 FAR655416:FAR655418 FKN655416:FKN655418 FUJ655416:FUJ655418 GEF655416:GEF655418 GOB655416:GOB655418 GXX655416:GXX655418 HHT655416:HHT655418 HRP655416:HRP655418 IBL655416:IBL655418 ILH655416:ILH655418 IVD655416:IVD655418 JEZ655416:JEZ655418 JOV655416:JOV655418 JYR655416:JYR655418 KIN655416:KIN655418 KSJ655416:KSJ655418 LCF655416:LCF655418 LMB655416:LMB655418 LVX655416:LVX655418 MFT655416:MFT655418 MPP655416:MPP655418 MZL655416:MZL655418 NJH655416:NJH655418 NTD655416:NTD655418 OCZ655416:OCZ655418 OMV655416:OMV655418 OWR655416:OWR655418 PGN655416:PGN655418 PQJ655416:PQJ655418 QAF655416:QAF655418 QKB655416:QKB655418 QTX655416:QTX655418 RDT655416:RDT655418 RNP655416:RNP655418 RXL655416:RXL655418 SHH655416:SHH655418 SRD655416:SRD655418 TAZ655416:TAZ655418 TKV655416:TKV655418 TUR655416:TUR655418 UEN655416:UEN655418 UOJ655416:UOJ655418 UYF655416:UYF655418 VIB655416:VIB655418 VRX655416:VRX655418 WBT655416:WBT655418 WLP655416:WLP655418 WVL655416:WVL655418 D720952:D720954 IZ720952:IZ720954 SV720952:SV720954 ACR720952:ACR720954 AMN720952:AMN720954 AWJ720952:AWJ720954 BGF720952:BGF720954 BQB720952:BQB720954 BZX720952:BZX720954 CJT720952:CJT720954 CTP720952:CTP720954 DDL720952:DDL720954 DNH720952:DNH720954 DXD720952:DXD720954 EGZ720952:EGZ720954 EQV720952:EQV720954 FAR720952:FAR720954 FKN720952:FKN720954 FUJ720952:FUJ720954 GEF720952:GEF720954 GOB720952:GOB720954 GXX720952:GXX720954 HHT720952:HHT720954 HRP720952:HRP720954 IBL720952:IBL720954 ILH720952:ILH720954 IVD720952:IVD720954 JEZ720952:JEZ720954 JOV720952:JOV720954 JYR720952:JYR720954 KIN720952:KIN720954 KSJ720952:KSJ720954 LCF720952:LCF720954 LMB720952:LMB720954 LVX720952:LVX720954 MFT720952:MFT720954 MPP720952:MPP720954 MZL720952:MZL720954 NJH720952:NJH720954 NTD720952:NTD720954 OCZ720952:OCZ720954 OMV720952:OMV720954 OWR720952:OWR720954 PGN720952:PGN720954 PQJ720952:PQJ720954 QAF720952:QAF720954 QKB720952:QKB720954 QTX720952:QTX720954 RDT720952:RDT720954 RNP720952:RNP720954 RXL720952:RXL720954 SHH720952:SHH720954 SRD720952:SRD720954 TAZ720952:TAZ720954 TKV720952:TKV720954 TUR720952:TUR720954 UEN720952:UEN720954 UOJ720952:UOJ720954 UYF720952:UYF720954 VIB720952:VIB720954 VRX720952:VRX720954 WBT720952:WBT720954 WLP720952:WLP720954 WVL720952:WVL720954 D786488:D786490 IZ786488:IZ786490 SV786488:SV786490 ACR786488:ACR786490 AMN786488:AMN786490 AWJ786488:AWJ786490 BGF786488:BGF786490 BQB786488:BQB786490 BZX786488:BZX786490 CJT786488:CJT786490 CTP786488:CTP786490 DDL786488:DDL786490 DNH786488:DNH786490 DXD786488:DXD786490 EGZ786488:EGZ786490 EQV786488:EQV786490 FAR786488:FAR786490 FKN786488:FKN786490 FUJ786488:FUJ786490 GEF786488:GEF786490 GOB786488:GOB786490 GXX786488:GXX786490 HHT786488:HHT786490 HRP786488:HRP786490 IBL786488:IBL786490 ILH786488:ILH786490 IVD786488:IVD786490 JEZ786488:JEZ786490 JOV786488:JOV786490 JYR786488:JYR786490 KIN786488:KIN786490 KSJ786488:KSJ786490 LCF786488:LCF786490 LMB786488:LMB786490 LVX786488:LVX786490 MFT786488:MFT786490 MPP786488:MPP786490 MZL786488:MZL786490 NJH786488:NJH786490 NTD786488:NTD786490 OCZ786488:OCZ786490 OMV786488:OMV786490 OWR786488:OWR786490 PGN786488:PGN786490 PQJ786488:PQJ786490 QAF786488:QAF786490 QKB786488:QKB786490 QTX786488:QTX786490 RDT786488:RDT786490 RNP786488:RNP786490 RXL786488:RXL786490 SHH786488:SHH786490 SRD786488:SRD786490 TAZ786488:TAZ786490 TKV786488:TKV786490 TUR786488:TUR786490 UEN786488:UEN786490 UOJ786488:UOJ786490 UYF786488:UYF786490 VIB786488:VIB786490 VRX786488:VRX786490 WBT786488:WBT786490 WLP786488:WLP786490 WVL786488:WVL786490 D852024:D852026 IZ852024:IZ852026 SV852024:SV852026 ACR852024:ACR852026 AMN852024:AMN852026 AWJ852024:AWJ852026 BGF852024:BGF852026 BQB852024:BQB852026 BZX852024:BZX852026 CJT852024:CJT852026 CTP852024:CTP852026 DDL852024:DDL852026 DNH852024:DNH852026 DXD852024:DXD852026 EGZ852024:EGZ852026 EQV852024:EQV852026 FAR852024:FAR852026 FKN852024:FKN852026 FUJ852024:FUJ852026 GEF852024:GEF852026 GOB852024:GOB852026 GXX852024:GXX852026 HHT852024:HHT852026 HRP852024:HRP852026 IBL852024:IBL852026 ILH852024:ILH852026 IVD852024:IVD852026 JEZ852024:JEZ852026 JOV852024:JOV852026 JYR852024:JYR852026 KIN852024:KIN852026 KSJ852024:KSJ852026 LCF852024:LCF852026 LMB852024:LMB852026 LVX852024:LVX852026 MFT852024:MFT852026 MPP852024:MPP852026 MZL852024:MZL852026 NJH852024:NJH852026 NTD852024:NTD852026 OCZ852024:OCZ852026 OMV852024:OMV852026 OWR852024:OWR852026 PGN852024:PGN852026 PQJ852024:PQJ852026 QAF852024:QAF852026 QKB852024:QKB852026 QTX852024:QTX852026 RDT852024:RDT852026 RNP852024:RNP852026 RXL852024:RXL852026 SHH852024:SHH852026 SRD852024:SRD852026 TAZ852024:TAZ852026 TKV852024:TKV852026 TUR852024:TUR852026 UEN852024:UEN852026 UOJ852024:UOJ852026 UYF852024:UYF852026 VIB852024:VIB852026 VRX852024:VRX852026 WBT852024:WBT852026 WLP852024:WLP852026 WVL852024:WVL852026 D917560:D917562 IZ917560:IZ917562 SV917560:SV917562 ACR917560:ACR917562 AMN917560:AMN917562 AWJ917560:AWJ917562 BGF917560:BGF917562 BQB917560:BQB917562 BZX917560:BZX917562 CJT917560:CJT917562 CTP917560:CTP917562 DDL917560:DDL917562 DNH917560:DNH917562 DXD917560:DXD917562 EGZ917560:EGZ917562 EQV917560:EQV917562 FAR917560:FAR917562 FKN917560:FKN917562 FUJ917560:FUJ917562 GEF917560:GEF917562 GOB917560:GOB917562 GXX917560:GXX917562 HHT917560:HHT917562 HRP917560:HRP917562 IBL917560:IBL917562 ILH917560:ILH917562 IVD917560:IVD917562 JEZ917560:JEZ917562 JOV917560:JOV917562 JYR917560:JYR917562 KIN917560:KIN917562 KSJ917560:KSJ917562 LCF917560:LCF917562 LMB917560:LMB917562 LVX917560:LVX917562 MFT917560:MFT917562 MPP917560:MPP917562 MZL917560:MZL917562 NJH917560:NJH917562 NTD917560:NTD917562 OCZ917560:OCZ917562 OMV917560:OMV917562 OWR917560:OWR917562 PGN917560:PGN917562 PQJ917560:PQJ917562 QAF917560:QAF917562 QKB917560:QKB917562 QTX917560:QTX917562 RDT917560:RDT917562 RNP917560:RNP917562 RXL917560:RXL917562 SHH917560:SHH917562 SRD917560:SRD917562 TAZ917560:TAZ917562 TKV917560:TKV917562 TUR917560:TUR917562 UEN917560:UEN917562 UOJ917560:UOJ917562 UYF917560:UYF917562 VIB917560:VIB917562 VRX917560:VRX917562 WBT917560:WBT917562 WLP917560:WLP917562 WVL917560:WVL917562 D983096:D983098 IZ983096:IZ983098 SV983096:SV983098 ACR983096:ACR983098 AMN983096:AMN983098 AWJ983096:AWJ983098 BGF983096:BGF983098 BQB983096:BQB983098 BZX983096:BZX983098 CJT983096:CJT983098 CTP983096:CTP983098 DDL983096:DDL983098 DNH983096:DNH983098 DXD983096:DXD983098 EGZ983096:EGZ983098 EQV983096:EQV983098 FAR983096:FAR983098 FKN983096:FKN983098 FUJ983096:FUJ983098 GEF983096:GEF983098 GOB983096:GOB983098 GXX983096:GXX983098 HHT983096:HHT983098 HRP983096:HRP983098 IBL983096:IBL983098 ILH983096:ILH983098 IVD983096:IVD983098 JEZ983096:JEZ983098 JOV983096:JOV983098 JYR983096:JYR983098 KIN983096:KIN983098 KSJ983096:KSJ983098 LCF983096:LCF983098 LMB983096:LMB983098 LVX983096:LVX983098 MFT983096:MFT983098 MPP983096:MPP983098 MZL983096:MZL983098 NJH983096:NJH983098 NTD983096:NTD983098 OCZ983096:OCZ983098 OMV983096:OMV983098 OWR983096:OWR983098 PGN983096:PGN983098 PQJ983096:PQJ983098 QAF983096:QAF983098 QKB983096:QKB983098 QTX983096:QTX983098 RDT983096:RDT983098 RNP983096:RNP983098 RXL983096:RXL983098 SHH983096:SHH983098 SRD983096:SRD983098 TAZ983096:TAZ983098 TKV983096:TKV983098 TUR983096:TUR983098 UEN983096:UEN983098 UOJ983096:UOJ983098 UYF983096:UYF983098 VIB983096:VIB983098 VRX983096:VRX983098 WBT983096:WBT983098 WLP983096:WLP983098 WVL983096:WVL983098" xr:uid="{7A17051A-2110-49DD-ADE7-19DE5664AE02}">
      <formula1>"-,8,10,12,16,20,25,32"</formula1>
      <formula2>0</formula2>
    </dataValidation>
    <dataValidation type="list" allowBlank="1" showErrorMessage="1" sqref="D31:D32 IZ31:IZ32 SV31:SV32 ACR31:ACR32 AMN31:AMN32 AWJ31:AWJ32 BGF31:BGF32 BQB31:BQB32 BZX31:BZX32 CJT31:CJT32 CTP31:CTP32 DDL31:DDL32 DNH31:DNH32 DXD31:DXD32 EGZ31:EGZ32 EQV31:EQV32 FAR31:FAR32 FKN31:FKN32 FUJ31:FUJ32 GEF31:GEF32 GOB31:GOB32 GXX31:GXX32 HHT31:HHT32 HRP31:HRP32 IBL31:IBL32 ILH31:ILH32 IVD31:IVD32 JEZ31:JEZ32 JOV31:JOV32 JYR31:JYR32 KIN31:KIN32 KSJ31:KSJ32 LCF31:LCF32 LMB31:LMB32 LVX31:LVX32 MFT31:MFT32 MPP31:MPP32 MZL31:MZL32 NJH31:NJH32 NTD31:NTD32 OCZ31:OCZ32 OMV31:OMV32 OWR31:OWR32 PGN31:PGN32 PQJ31:PQJ32 QAF31:QAF32 QKB31:QKB32 QTX31:QTX32 RDT31:RDT32 RNP31:RNP32 RXL31:RXL32 SHH31:SHH32 SRD31:SRD32 TAZ31:TAZ32 TKV31:TKV32 TUR31:TUR32 UEN31:UEN32 UOJ31:UOJ32 UYF31:UYF32 VIB31:VIB32 VRX31:VRX32 WBT31:WBT32 WLP31:WLP32 WVL31:WVL32 D65567:D65568 IZ65567:IZ65568 SV65567:SV65568 ACR65567:ACR65568 AMN65567:AMN65568 AWJ65567:AWJ65568 BGF65567:BGF65568 BQB65567:BQB65568 BZX65567:BZX65568 CJT65567:CJT65568 CTP65567:CTP65568 DDL65567:DDL65568 DNH65567:DNH65568 DXD65567:DXD65568 EGZ65567:EGZ65568 EQV65567:EQV65568 FAR65567:FAR65568 FKN65567:FKN65568 FUJ65567:FUJ65568 GEF65567:GEF65568 GOB65567:GOB65568 GXX65567:GXX65568 HHT65567:HHT65568 HRP65567:HRP65568 IBL65567:IBL65568 ILH65567:ILH65568 IVD65567:IVD65568 JEZ65567:JEZ65568 JOV65567:JOV65568 JYR65567:JYR65568 KIN65567:KIN65568 KSJ65567:KSJ65568 LCF65567:LCF65568 LMB65567:LMB65568 LVX65567:LVX65568 MFT65567:MFT65568 MPP65567:MPP65568 MZL65567:MZL65568 NJH65567:NJH65568 NTD65567:NTD65568 OCZ65567:OCZ65568 OMV65567:OMV65568 OWR65567:OWR65568 PGN65567:PGN65568 PQJ65567:PQJ65568 QAF65567:QAF65568 QKB65567:QKB65568 QTX65567:QTX65568 RDT65567:RDT65568 RNP65567:RNP65568 RXL65567:RXL65568 SHH65567:SHH65568 SRD65567:SRD65568 TAZ65567:TAZ65568 TKV65567:TKV65568 TUR65567:TUR65568 UEN65567:UEN65568 UOJ65567:UOJ65568 UYF65567:UYF65568 VIB65567:VIB65568 VRX65567:VRX65568 WBT65567:WBT65568 WLP65567:WLP65568 WVL65567:WVL65568 D131103:D131104 IZ131103:IZ131104 SV131103:SV131104 ACR131103:ACR131104 AMN131103:AMN131104 AWJ131103:AWJ131104 BGF131103:BGF131104 BQB131103:BQB131104 BZX131103:BZX131104 CJT131103:CJT131104 CTP131103:CTP131104 DDL131103:DDL131104 DNH131103:DNH131104 DXD131103:DXD131104 EGZ131103:EGZ131104 EQV131103:EQV131104 FAR131103:FAR131104 FKN131103:FKN131104 FUJ131103:FUJ131104 GEF131103:GEF131104 GOB131103:GOB131104 GXX131103:GXX131104 HHT131103:HHT131104 HRP131103:HRP131104 IBL131103:IBL131104 ILH131103:ILH131104 IVD131103:IVD131104 JEZ131103:JEZ131104 JOV131103:JOV131104 JYR131103:JYR131104 KIN131103:KIN131104 KSJ131103:KSJ131104 LCF131103:LCF131104 LMB131103:LMB131104 LVX131103:LVX131104 MFT131103:MFT131104 MPP131103:MPP131104 MZL131103:MZL131104 NJH131103:NJH131104 NTD131103:NTD131104 OCZ131103:OCZ131104 OMV131103:OMV131104 OWR131103:OWR131104 PGN131103:PGN131104 PQJ131103:PQJ131104 QAF131103:QAF131104 QKB131103:QKB131104 QTX131103:QTX131104 RDT131103:RDT131104 RNP131103:RNP131104 RXL131103:RXL131104 SHH131103:SHH131104 SRD131103:SRD131104 TAZ131103:TAZ131104 TKV131103:TKV131104 TUR131103:TUR131104 UEN131103:UEN131104 UOJ131103:UOJ131104 UYF131103:UYF131104 VIB131103:VIB131104 VRX131103:VRX131104 WBT131103:WBT131104 WLP131103:WLP131104 WVL131103:WVL131104 D196639:D196640 IZ196639:IZ196640 SV196639:SV196640 ACR196639:ACR196640 AMN196639:AMN196640 AWJ196639:AWJ196640 BGF196639:BGF196640 BQB196639:BQB196640 BZX196639:BZX196640 CJT196639:CJT196640 CTP196639:CTP196640 DDL196639:DDL196640 DNH196639:DNH196640 DXD196639:DXD196640 EGZ196639:EGZ196640 EQV196639:EQV196640 FAR196639:FAR196640 FKN196639:FKN196640 FUJ196639:FUJ196640 GEF196639:GEF196640 GOB196639:GOB196640 GXX196639:GXX196640 HHT196639:HHT196640 HRP196639:HRP196640 IBL196639:IBL196640 ILH196639:ILH196640 IVD196639:IVD196640 JEZ196639:JEZ196640 JOV196639:JOV196640 JYR196639:JYR196640 KIN196639:KIN196640 KSJ196639:KSJ196640 LCF196639:LCF196640 LMB196639:LMB196640 LVX196639:LVX196640 MFT196639:MFT196640 MPP196639:MPP196640 MZL196639:MZL196640 NJH196639:NJH196640 NTD196639:NTD196640 OCZ196639:OCZ196640 OMV196639:OMV196640 OWR196639:OWR196640 PGN196639:PGN196640 PQJ196639:PQJ196640 QAF196639:QAF196640 QKB196639:QKB196640 QTX196639:QTX196640 RDT196639:RDT196640 RNP196639:RNP196640 RXL196639:RXL196640 SHH196639:SHH196640 SRD196639:SRD196640 TAZ196639:TAZ196640 TKV196639:TKV196640 TUR196639:TUR196640 UEN196639:UEN196640 UOJ196639:UOJ196640 UYF196639:UYF196640 VIB196639:VIB196640 VRX196639:VRX196640 WBT196639:WBT196640 WLP196639:WLP196640 WVL196639:WVL196640 D262175:D262176 IZ262175:IZ262176 SV262175:SV262176 ACR262175:ACR262176 AMN262175:AMN262176 AWJ262175:AWJ262176 BGF262175:BGF262176 BQB262175:BQB262176 BZX262175:BZX262176 CJT262175:CJT262176 CTP262175:CTP262176 DDL262175:DDL262176 DNH262175:DNH262176 DXD262175:DXD262176 EGZ262175:EGZ262176 EQV262175:EQV262176 FAR262175:FAR262176 FKN262175:FKN262176 FUJ262175:FUJ262176 GEF262175:GEF262176 GOB262175:GOB262176 GXX262175:GXX262176 HHT262175:HHT262176 HRP262175:HRP262176 IBL262175:IBL262176 ILH262175:ILH262176 IVD262175:IVD262176 JEZ262175:JEZ262176 JOV262175:JOV262176 JYR262175:JYR262176 KIN262175:KIN262176 KSJ262175:KSJ262176 LCF262175:LCF262176 LMB262175:LMB262176 LVX262175:LVX262176 MFT262175:MFT262176 MPP262175:MPP262176 MZL262175:MZL262176 NJH262175:NJH262176 NTD262175:NTD262176 OCZ262175:OCZ262176 OMV262175:OMV262176 OWR262175:OWR262176 PGN262175:PGN262176 PQJ262175:PQJ262176 QAF262175:QAF262176 QKB262175:QKB262176 QTX262175:QTX262176 RDT262175:RDT262176 RNP262175:RNP262176 RXL262175:RXL262176 SHH262175:SHH262176 SRD262175:SRD262176 TAZ262175:TAZ262176 TKV262175:TKV262176 TUR262175:TUR262176 UEN262175:UEN262176 UOJ262175:UOJ262176 UYF262175:UYF262176 VIB262175:VIB262176 VRX262175:VRX262176 WBT262175:WBT262176 WLP262175:WLP262176 WVL262175:WVL262176 D327711:D327712 IZ327711:IZ327712 SV327711:SV327712 ACR327711:ACR327712 AMN327711:AMN327712 AWJ327711:AWJ327712 BGF327711:BGF327712 BQB327711:BQB327712 BZX327711:BZX327712 CJT327711:CJT327712 CTP327711:CTP327712 DDL327711:DDL327712 DNH327711:DNH327712 DXD327711:DXD327712 EGZ327711:EGZ327712 EQV327711:EQV327712 FAR327711:FAR327712 FKN327711:FKN327712 FUJ327711:FUJ327712 GEF327711:GEF327712 GOB327711:GOB327712 GXX327711:GXX327712 HHT327711:HHT327712 HRP327711:HRP327712 IBL327711:IBL327712 ILH327711:ILH327712 IVD327711:IVD327712 JEZ327711:JEZ327712 JOV327711:JOV327712 JYR327711:JYR327712 KIN327711:KIN327712 KSJ327711:KSJ327712 LCF327711:LCF327712 LMB327711:LMB327712 LVX327711:LVX327712 MFT327711:MFT327712 MPP327711:MPP327712 MZL327711:MZL327712 NJH327711:NJH327712 NTD327711:NTD327712 OCZ327711:OCZ327712 OMV327711:OMV327712 OWR327711:OWR327712 PGN327711:PGN327712 PQJ327711:PQJ327712 QAF327711:QAF327712 QKB327711:QKB327712 QTX327711:QTX327712 RDT327711:RDT327712 RNP327711:RNP327712 RXL327711:RXL327712 SHH327711:SHH327712 SRD327711:SRD327712 TAZ327711:TAZ327712 TKV327711:TKV327712 TUR327711:TUR327712 UEN327711:UEN327712 UOJ327711:UOJ327712 UYF327711:UYF327712 VIB327711:VIB327712 VRX327711:VRX327712 WBT327711:WBT327712 WLP327711:WLP327712 WVL327711:WVL327712 D393247:D393248 IZ393247:IZ393248 SV393247:SV393248 ACR393247:ACR393248 AMN393247:AMN393248 AWJ393247:AWJ393248 BGF393247:BGF393248 BQB393247:BQB393248 BZX393247:BZX393248 CJT393247:CJT393248 CTP393247:CTP393248 DDL393247:DDL393248 DNH393247:DNH393248 DXD393247:DXD393248 EGZ393247:EGZ393248 EQV393247:EQV393248 FAR393247:FAR393248 FKN393247:FKN393248 FUJ393247:FUJ393248 GEF393247:GEF393248 GOB393247:GOB393248 GXX393247:GXX393248 HHT393247:HHT393248 HRP393247:HRP393248 IBL393247:IBL393248 ILH393247:ILH393248 IVD393247:IVD393248 JEZ393247:JEZ393248 JOV393247:JOV393248 JYR393247:JYR393248 KIN393247:KIN393248 KSJ393247:KSJ393248 LCF393247:LCF393248 LMB393247:LMB393248 LVX393247:LVX393248 MFT393247:MFT393248 MPP393247:MPP393248 MZL393247:MZL393248 NJH393247:NJH393248 NTD393247:NTD393248 OCZ393247:OCZ393248 OMV393247:OMV393248 OWR393247:OWR393248 PGN393247:PGN393248 PQJ393247:PQJ393248 QAF393247:QAF393248 QKB393247:QKB393248 QTX393247:QTX393248 RDT393247:RDT393248 RNP393247:RNP393248 RXL393247:RXL393248 SHH393247:SHH393248 SRD393247:SRD393248 TAZ393247:TAZ393248 TKV393247:TKV393248 TUR393247:TUR393248 UEN393247:UEN393248 UOJ393247:UOJ393248 UYF393247:UYF393248 VIB393247:VIB393248 VRX393247:VRX393248 WBT393247:WBT393248 WLP393247:WLP393248 WVL393247:WVL393248 D458783:D458784 IZ458783:IZ458784 SV458783:SV458784 ACR458783:ACR458784 AMN458783:AMN458784 AWJ458783:AWJ458784 BGF458783:BGF458784 BQB458783:BQB458784 BZX458783:BZX458784 CJT458783:CJT458784 CTP458783:CTP458784 DDL458783:DDL458784 DNH458783:DNH458784 DXD458783:DXD458784 EGZ458783:EGZ458784 EQV458783:EQV458784 FAR458783:FAR458784 FKN458783:FKN458784 FUJ458783:FUJ458784 GEF458783:GEF458784 GOB458783:GOB458784 GXX458783:GXX458784 HHT458783:HHT458784 HRP458783:HRP458784 IBL458783:IBL458784 ILH458783:ILH458784 IVD458783:IVD458784 JEZ458783:JEZ458784 JOV458783:JOV458784 JYR458783:JYR458784 KIN458783:KIN458784 KSJ458783:KSJ458784 LCF458783:LCF458784 LMB458783:LMB458784 LVX458783:LVX458784 MFT458783:MFT458784 MPP458783:MPP458784 MZL458783:MZL458784 NJH458783:NJH458784 NTD458783:NTD458784 OCZ458783:OCZ458784 OMV458783:OMV458784 OWR458783:OWR458784 PGN458783:PGN458784 PQJ458783:PQJ458784 QAF458783:QAF458784 QKB458783:QKB458784 QTX458783:QTX458784 RDT458783:RDT458784 RNP458783:RNP458784 RXL458783:RXL458784 SHH458783:SHH458784 SRD458783:SRD458784 TAZ458783:TAZ458784 TKV458783:TKV458784 TUR458783:TUR458784 UEN458783:UEN458784 UOJ458783:UOJ458784 UYF458783:UYF458784 VIB458783:VIB458784 VRX458783:VRX458784 WBT458783:WBT458784 WLP458783:WLP458784 WVL458783:WVL458784 D524319:D524320 IZ524319:IZ524320 SV524319:SV524320 ACR524319:ACR524320 AMN524319:AMN524320 AWJ524319:AWJ524320 BGF524319:BGF524320 BQB524319:BQB524320 BZX524319:BZX524320 CJT524319:CJT524320 CTP524319:CTP524320 DDL524319:DDL524320 DNH524319:DNH524320 DXD524319:DXD524320 EGZ524319:EGZ524320 EQV524319:EQV524320 FAR524319:FAR524320 FKN524319:FKN524320 FUJ524319:FUJ524320 GEF524319:GEF524320 GOB524319:GOB524320 GXX524319:GXX524320 HHT524319:HHT524320 HRP524319:HRP524320 IBL524319:IBL524320 ILH524319:ILH524320 IVD524319:IVD524320 JEZ524319:JEZ524320 JOV524319:JOV524320 JYR524319:JYR524320 KIN524319:KIN524320 KSJ524319:KSJ524320 LCF524319:LCF524320 LMB524319:LMB524320 LVX524319:LVX524320 MFT524319:MFT524320 MPP524319:MPP524320 MZL524319:MZL524320 NJH524319:NJH524320 NTD524319:NTD524320 OCZ524319:OCZ524320 OMV524319:OMV524320 OWR524319:OWR524320 PGN524319:PGN524320 PQJ524319:PQJ524320 QAF524319:QAF524320 QKB524319:QKB524320 QTX524319:QTX524320 RDT524319:RDT524320 RNP524319:RNP524320 RXL524319:RXL524320 SHH524319:SHH524320 SRD524319:SRD524320 TAZ524319:TAZ524320 TKV524319:TKV524320 TUR524319:TUR524320 UEN524319:UEN524320 UOJ524319:UOJ524320 UYF524319:UYF524320 VIB524319:VIB524320 VRX524319:VRX524320 WBT524319:WBT524320 WLP524319:WLP524320 WVL524319:WVL524320 D589855:D589856 IZ589855:IZ589856 SV589855:SV589856 ACR589855:ACR589856 AMN589855:AMN589856 AWJ589855:AWJ589856 BGF589855:BGF589856 BQB589855:BQB589856 BZX589855:BZX589856 CJT589855:CJT589856 CTP589855:CTP589856 DDL589855:DDL589856 DNH589855:DNH589856 DXD589855:DXD589856 EGZ589855:EGZ589856 EQV589855:EQV589856 FAR589855:FAR589856 FKN589855:FKN589856 FUJ589855:FUJ589856 GEF589855:GEF589856 GOB589855:GOB589856 GXX589855:GXX589856 HHT589855:HHT589856 HRP589855:HRP589856 IBL589855:IBL589856 ILH589855:ILH589856 IVD589855:IVD589856 JEZ589855:JEZ589856 JOV589855:JOV589856 JYR589855:JYR589856 KIN589855:KIN589856 KSJ589855:KSJ589856 LCF589855:LCF589856 LMB589855:LMB589856 LVX589855:LVX589856 MFT589855:MFT589856 MPP589855:MPP589856 MZL589855:MZL589856 NJH589855:NJH589856 NTD589855:NTD589856 OCZ589855:OCZ589856 OMV589855:OMV589856 OWR589855:OWR589856 PGN589855:PGN589856 PQJ589855:PQJ589856 QAF589855:QAF589856 QKB589855:QKB589856 QTX589855:QTX589856 RDT589855:RDT589856 RNP589855:RNP589856 RXL589855:RXL589856 SHH589855:SHH589856 SRD589855:SRD589856 TAZ589855:TAZ589856 TKV589855:TKV589856 TUR589855:TUR589856 UEN589855:UEN589856 UOJ589855:UOJ589856 UYF589855:UYF589856 VIB589855:VIB589856 VRX589855:VRX589856 WBT589855:WBT589856 WLP589855:WLP589856 WVL589855:WVL589856 D655391:D655392 IZ655391:IZ655392 SV655391:SV655392 ACR655391:ACR655392 AMN655391:AMN655392 AWJ655391:AWJ655392 BGF655391:BGF655392 BQB655391:BQB655392 BZX655391:BZX655392 CJT655391:CJT655392 CTP655391:CTP655392 DDL655391:DDL655392 DNH655391:DNH655392 DXD655391:DXD655392 EGZ655391:EGZ655392 EQV655391:EQV655392 FAR655391:FAR655392 FKN655391:FKN655392 FUJ655391:FUJ655392 GEF655391:GEF655392 GOB655391:GOB655392 GXX655391:GXX655392 HHT655391:HHT655392 HRP655391:HRP655392 IBL655391:IBL655392 ILH655391:ILH655392 IVD655391:IVD655392 JEZ655391:JEZ655392 JOV655391:JOV655392 JYR655391:JYR655392 KIN655391:KIN655392 KSJ655391:KSJ655392 LCF655391:LCF655392 LMB655391:LMB655392 LVX655391:LVX655392 MFT655391:MFT655392 MPP655391:MPP655392 MZL655391:MZL655392 NJH655391:NJH655392 NTD655391:NTD655392 OCZ655391:OCZ655392 OMV655391:OMV655392 OWR655391:OWR655392 PGN655391:PGN655392 PQJ655391:PQJ655392 QAF655391:QAF655392 QKB655391:QKB655392 QTX655391:QTX655392 RDT655391:RDT655392 RNP655391:RNP655392 RXL655391:RXL655392 SHH655391:SHH655392 SRD655391:SRD655392 TAZ655391:TAZ655392 TKV655391:TKV655392 TUR655391:TUR655392 UEN655391:UEN655392 UOJ655391:UOJ655392 UYF655391:UYF655392 VIB655391:VIB655392 VRX655391:VRX655392 WBT655391:WBT655392 WLP655391:WLP655392 WVL655391:WVL655392 D720927:D720928 IZ720927:IZ720928 SV720927:SV720928 ACR720927:ACR720928 AMN720927:AMN720928 AWJ720927:AWJ720928 BGF720927:BGF720928 BQB720927:BQB720928 BZX720927:BZX720928 CJT720927:CJT720928 CTP720927:CTP720928 DDL720927:DDL720928 DNH720927:DNH720928 DXD720927:DXD720928 EGZ720927:EGZ720928 EQV720927:EQV720928 FAR720927:FAR720928 FKN720927:FKN720928 FUJ720927:FUJ720928 GEF720927:GEF720928 GOB720927:GOB720928 GXX720927:GXX720928 HHT720927:HHT720928 HRP720927:HRP720928 IBL720927:IBL720928 ILH720927:ILH720928 IVD720927:IVD720928 JEZ720927:JEZ720928 JOV720927:JOV720928 JYR720927:JYR720928 KIN720927:KIN720928 KSJ720927:KSJ720928 LCF720927:LCF720928 LMB720927:LMB720928 LVX720927:LVX720928 MFT720927:MFT720928 MPP720927:MPP720928 MZL720927:MZL720928 NJH720927:NJH720928 NTD720927:NTD720928 OCZ720927:OCZ720928 OMV720927:OMV720928 OWR720927:OWR720928 PGN720927:PGN720928 PQJ720927:PQJ720928 QAF720927:QAF720928 QKB720927:QKB720928 QTX720927:QTX720928 RDT720927:RDT720928 RNP720927:RNP720928 RXL720927:RXL720928 SHH720927:SHH720928 SRD720927:SRD720928 TAZ720927:TAZ720928 TKV720927:TKV720928 TUR720927:TUR720928 UEN720927:UEN720928 UOJ720927:UOJ720928 UYF720927:UYF720928 VIB720927:VIB720928 VRX720927:VRX720928 WBT720927:WBT720928 WLP720927:WLP720928 WVL720927:WVL720928 D786463:D786464 IZ786463:IZ786464 SV786463:SV786464 ACR786463:ACR786464 AMN786463:AMN786464 AWJ786463:AWJ786464 BGF786463:BGF786464 BQB786463:BQB786464 BZX786463:BZX786464 CJT786463:CJT786464 CTP786463:CTP786464 DDL786463:DDL786464 DNH786463:DNH786464 DXD786463:DXD786464 EGZ786463:EGZ786464 EQV786463:EQV786464 FAR786463:FAR786464 FKN786463:FKN786464 FUJ786463:FUJ786464 GEF786463:GEF786464 GOB786463:GOB786464 GXX786463:GXX786464 HHT786463:HHT786464 HRP786463:HRP786464 IBL786463:IBL786464 ILH786463:ILH786464 IVD786463:IVD786464 JEZ786463:JEZ786464 JOV786463:JOV786464 JYR786463:JYR786464 KIN786463:KIN786464 KSJ786463:KSJ786464 LCF786463:LCF786464 LMB786463:LMB786464 LVX786463:LVX786464 MFT786463:MFT786464 MPP786463:MPP786464 MZL786463:MZL786464 NJH786463:NJH786464 NTD786463:NTD786464 OCZ786463:OCZ786464 OMV786463:OMV786464 OWR786463:OWR786464 PGN786463:PGN786464 PQJ786463:PQJ786464 QAF786463:QAF786464 QKB786463:QKB786464 QTX786463:QTX786464 RDT786463:RDT786464 RNP786463:RNP786464 RXL786463:RXL786464 SHH786463:SHH786464 SRD786463:SRD786464 TAZ786463:TAZ786464 TKV786463:TKV786464 TUR786463:TUR786464 UEN786463:UEN786464 UOJ786463:UOJ786464 UYF786463:UYF786464 VIB786463:VIB786464 VRX786463:VRX786464 WBT786463:WBT786464 WLP786463:WLP786464 WVL786463:WVL786464 D851999:D852000 IZ851999:IZ852000 SV851999:SV852000 ACR851999:ACR852000 AMN851999:AMN852000 AWJ851999:AWJ852000 BGF851999:BGF852000 BQB851999:BQB852000 BZX851999:BZX852000 CJT851999:CJT852000 CTP851999:CTP852000 DDL851999:DDL852000 DNH851999:DNH852000 DXD851999:DXD852000 EGZ851999:EGZ852000 EQV851999:EQV852000 FAR851999:FAR852000 FKN851999:FKN852000 FUJ851999:FUJ852000 GEF851999:GEF852000 GOB851999:GOB852000 GXX851999:GXX852000 HHT851999:HHT852000 HRP851999:HRP852000 IBL851999:IBL852000 ILH851999:ILH852000 IVD851999:IVD852000 JEZ851999:JEZ852000 JOV851999:JOV852000 JYR851999:JYR852000 KIN851999:KIN852000 KSJ851999:KSJ852000 LCF851999:LCF852000 LMB851999:LMB852000 LVX851999:LVX852000 MFT851999:MFT852000 MPP851999:MPP852000 MZL851999:MZL852000 NJH851999:NJH852000 NTD851999:NTD852000 OCZ851999:OCZ852000 OMV851999:OMV852000 OWR851999:OWR852000 PGN851999:PGN852000 PQJ851999:PQJ852000 QAF851999:QAF852000 QKB851999:QKB852000 QTX851999:QTX852000 RDT851999:RDT852000 RNP851999:RNP852000 RXL851999:RXL852000 SHH851999:SHH852000 SRD851999:SRD852000 TAZ851999:TAZ852000 TKV851999:TKV852000 TUR851999:TUR852000 UEN851999:UEN852000 UOJ851999:UOJ852000 UYF851999:UYF852000 VIB851999:VIB852000 VRX851999:VRX852000 WBT851999:WBT852000 WLP851999:WLP852000 WVL851999:WVL852000 D917535:D917536 IZ917535:IZ917536 SV917535:SV917536 ACR917535:ACR917536 AMN917535:AMN917536 AWJ917535:AWJ917536 BGF917535:BGF917536 BQB917535:BQB917536 BZX917535:BZX917536 CJT917535:CJT917536 CTP917535:CTP917536 DDL917535:DDL917536 DNH917535:DNH917536 DXD917535:DXD917536 EGZ917535:EGZ917536 EQV917535:EQV917536 FAR917535:FAR917536 FKN917535:FKN917536 FUJ917535:FUJ917536 GEF917535:GEF917536 GOB917535:GOB917536 GXX917535:GXX917536 HHT917535:HHT917536 HRP917535:HRP917536 IBL917535:IBL917536 ILH917535:ILH917536 IVD917535:IVD917536 JEZ917535:JEZ917536 JOV917535:JOV917536 JYR917535:JYR917536 KIN917535:KIN917536 KSJ917535:KSJ917536 LCF917535:LCF917536 LMB917535:LMB917536 LVX917535:LVX917536 MFT917535:MFT917536 MPP917535:MPP917536 MZL917535:MZL917536 NJH917535:NJH917536 NTD917535:NTD917536 OCZ917535:OCZ917536 OMV917535:OMV917536 OWR917535:OWR917536 PGN917535:PGN917536 PQJ917535:PQJ917536 QAF917535:QAF917536 QKB917535:QKB917536 QTX917535:QTX917536 RDT917535:RDT917536 RNP917535:RNP917536 RXL917535:RXL917536 SHH917535:SHH917536 SRD917535:SRD917536 TAZ917535:TAZ917536 TKV917535:TKV917536 TUR917535:TUR917536 UEN917535:UEN917536 UOJ917535:UOJ917536 UYF917535:UYF917536 VIB917535:VIB917536 VRX917535:VRX917536 WBT917535:WBT917536 WLP917535:WLP917536 WVL917535:WVL917536 D983071:D983072 IZ983071:IZ983072 SV983071:SV983072 ACR983071:ACR983072 AMN983071:AMN983072 AWJ983071:AWJ983072 BGF983071:BGF983072 BQB983071:BQB983072 BZX983071:BZX983072 CJT983071:CJT983072 CTP983071:CTP983072 DDL983071:DDL983072 DNH983071:DNH983072 DXD983071:DXD983072 EGZ983071:EGZ983072 EQV983071:EQV983072 FAR983071:FAR983072 FKN983071:FKN983072 FUJ983071:FUJ983072 GEF983071:GEF983072 GOB983071:GOB983072 GXX983071:GXX983072 HHT983071:HHT983072 HRP983071:HRP983072 IBL983071:IBL983072 ILH983071:ILH983072 IVD983071:IVD983072 JEZ983071:JEZ983072 JOV983071:JOV983072 JYR983071:JYR983072 KIN983071:KIN983072 KSJ983071:KSJ983072 LCF983071:LCF983072 LMB983071:LMB983072 LVX983071:LVX983072 MFT983071:MFT983072 MPP983071:MPP983072 MZL983071:MZL983072 NJH983071:NJH983072 NTD983071:NTD983072 OCZ983071:OCZ983072 OMV983071:OMV983072 OWR983071:OWR983072 PGN983071:PGN983072 PQJ983071:PQJ983072 QAF983071:QAF983072 QKB983071:QKB983072 QTX983071:QTX983072 RDT983071:RDT983072 RNP983071:RNP983072 RXL983071:RXL983072 SHH983071:SHH983072 SRD983071:SRD983072 TAZ983071:TAZ983072 TKV983071:TKV983072 TUR983071:TUR983072 UEN983071:UEN983072 UOJ983071:UOJ983072 UYF983071:UYF983072 VIB983071:VIB983072 VRX983071:VRX983072 WBT983071:WBT983072 WLP983071:WLP983072 WVL983071:WVL983072" xr:uid="{B7B94106-B740-485D-9A03-6E1689040656}">
      <formula1>"-,8,10,12,16,20,25,32"</formula1>
      <formula2>0</formula2>
    </dataValidation>
    <dataValidation type="list" allowBlank="1" showErrorMessage="1" sqref="D65 IZ65 SV65 ACR65 AMN65 AWJ65 BGF65 BQB65 BZX65 CJT65 CTP65 DDL65 DNH65 DXD65 EGZ65 EQV65 FAR65 FKN65 FUJ65 GEF65 GOB65 GXX65 HHT65 HRP65 IBL65 ILH65 IVD65 JEZ65 JOV65 JYR65 KIN65 KSJ65 LCF65 LMB65 LVX65 MFT65 MPP65 MZL65 NJH65 NTD65 OCZ65 OMV65 OWR65 PGN65 PQJ65 QAF65 QKB65 QTX65 RDT65 RNP65 RXL65 SHH65 SRD65 TAZ65 TKV65 TUR65 UEN65 UOJ65 UYF65 VIB65 VRX65 WBT65 WLP65 WVL65 D65601 IZ65601 SV65601 ACR65601 AMN65601 AWJ65601 BGF65601 BQB65601 BZX65601 CJT65601 CTP65601 DDL65601 DNH65601 DXD65601 EGZ65601 EQV65601 FAR65601 FKN65601 FUJ65601 GEF65601 GOB65601 GXX65601 HHT65601 HRP65601 IBL65601 ILH65601 IVD65601 JEZ65601 JOV65601 JYR65601 KIN65601 KSJ65601 LCF65601 LMB65601 LVX65601 MFT65601 MPP65601 MZL65601 NJH65601 NTD65601 OCZ65601 OMV65601 OWR65601 PGN65601 PQJ65601 QAF65601 QKB65601 QTX65601 RDT65601 RNP65601 RXL65601 SHH65601 SRD65601 TAZ65601 TKV65601 TUR65601 UEN65601 UOJ65601 UYF65601 VIB65601 VRX65601 WBT65601 WLP65601 WVL65601 D131137 IZ131137 SV131137 ACR131137 AMN131137 AWJ131137 BGF131137 BQB131137 BZX131137 CJT131137 CTP131137 DDL131137 DNH131137 DXD131137 EGZ131137 EQV131137 FAR131137 FKN131137 FUJ131137 GEF131137 GOB131137 GXX131137 HHT131137 HRP131137 IBL131137 ILH131137 IVD131137 JEZ131137 JOV131137 JYR131137 KIN131137 KSJ131137 LCF131137 LMB131137 LVX131137 MFT131137 MPP131137 MZL131137 NJH131137 NTD131137 OCZ131137 OMV131137 OWR131137 PGN131137 PQJ131137 QAF131137 QKB131137 QTX131137 RDT131137 RNP131137 RXL131137 SHH131137 SRD131137 TAZ131137 TKV131137 TUR131137 UEN131137 UOJ131137 UYF131137 VIB131137 VRX131137 WBT131137 WLP131137 WVL131137 D196673 IZ196673 SV196673 ACR196673 AMN196673 AWJ196673 BGF196673 BQB196673 BZX196673 CJT196673 CTP196673 DDL196673 DNH196673 DXD196673 EGZ196673 EQV196673 FAR196673 FKN196673 FUJ196673 GEF196673 GOB196673 GXX196673 HHT196673 HRP196673 IBL196673 ILH196673 IVD196673 JEZ196673 JOV196673 JYR196673 KIN196673 KSJ196673 LCF196673 LMB196673 LVX196673 MFT196673 MPP196673 MZL196673 NJH196673 NTD196673 OCZ196673 OMV196673 OWR196673 PGN196673 PQJ196673 QAF196673 QKB196673 QTX196673 RDT196673 RNP196673 RXL196673 SHH196673 SRD196673 TAZ196673 TKV196673 TUR196673 UEN196673 UOJ196673 UYF196673 VIB196673 VRX196673 WBT196673 WLP196673 WVL196673 D262209 IZ262209 SV262209 ACR262209 AMN262209 AWJ262209 BGF262209 BQB262209 BZX262209 CJT262209 CTP262209 DDL262209 DNH262209 DXD262209 EGZ262209 EQV262209 FAR262209 FKN262209 FUJ262209 GEF262209 GOB262209 GXX262209 HHT262209 HRP262209 IBL262209 ILH262209 IVD262209 JEZ262209 JOV262209 JYR262209 KIN262209 KSJ262209 LCF262209 LMB262209 LVX262209 MFT262209 MPP262209 MZL262209 NJH262209 NTD262209 OCZ262209 OMV262209 OWR262209 PGN262209 PQJ262209 QAF262209 QKB262209 QTX262209 RDT262209 RNP262209 RXL262209 SHH262209 SRD262209 TAZ262209 TKV262209 TUR262209 UEN262209 UOJ262209 UYF262209 VIB262209 VRX262209 WBT262209 WLP262209 WVL262209 D327745 IZ327745 SV327745 ACR327745 AMN327745 AWJ327745 BGF327745 BQB327745 BZX327745 CJT327745 CTP327745 DDL327745 DNH327745 DXD327745 EGZ327745 EQV327745 FAR327745 FKN327745 FUJ327745 GEF327745 GOB327745 GXX327745 HHT327745 HRP327745 IBL327745 ILH327745 IVD327745 JEZ327745 JOV327745 JYR327745 KIN327745 KSJ327745 LCF327745 LMB327745 LVX327745 MFT327745 MPP327745 MZL327745 NJH327745 NTD327745 OCZ327745 OMV327745 OWR327745 PGN327745 PQJ327745 QAF327745 QKB327745 QTX327745 RDT327745 RNP327745 RXL327745 SHH327745 SRD327745 TAZ327745 TKV327745 TUR327745 UEN327745 UOJ327745 UYF327745 VIB327745 VRX327745 WBT327745 WLP327745 WVL327745 D393281 IZ393281 SV393281 ACR393281 AMN393281 AWJ393281 BGF393281 BQB393281 BZX393281 CJT393281 CTP393281 DDL393281 DNH393281 DXD393281 EGZ393281 EQV393281 FAR393281 FKN393281 FUJ393281 GEF393281 GOB393281 GXX393281 HHT393281 HRP393281 IBL393281 ILH393281 IVD393281 JEZ393281 JOV393281 JYR393281 KIN393281 KSJ393281 LCF393281 LMB393281 LVX393281 MFT393281 MPP393281 MZL393281 NJH393281 NTD393281 OCZ393281 OMV393281 OWR393281 PGN393281 PQJ393281 QAF393281 QKB393281 QTX393281 RDT393281 RNP393281 RXL393281 SHH393281 SRD393281 TAZ393281 TKV393281 TUR393281 UEN393281 UOJ393281 UYF393281 VIB393281 VRX393281 WBT393281 WLP393281 WVL393281 D458817 IZ458817 SV458817 ACR458817 AMN458817 AWJ458817 BGF458817 BQB458817 BZX458817 CJT458817 CTP458817 DDL458817 DNH458817 DXD458817 EGZ458817 EQV458817 FAR458817 FKN458817 FUJ458817 GEF458817 GOB458817 GXX458817 HHT458817 HRP458817 IBL458817 ILH458817 IVD458817 JEZ458817 JOV458817 JYR458817 KIN458817 KSJ458817 LCF458817 LMB458817 LVX458817 MFT458817 MPP458817 MZL458817 NJH458817 NTD458817 OCZ458817 OMV458817 OWR458817 PGN458817 PQJ458817 QAF458817 QKB458817 QTX458817 RDT458817 RNP458817 RXL458817 SHH458817 SRD458817 TAZ458817 TKV458817 TUR458817 UEN458817 UOJ458817 UYF458817 VIB458817 VRX458817 WBT458817 WLP458817 WVL458817 D524353 IZ524353 SV524353 ACR524353 AMN524353 AWJ524353 BGF524353 BQB524353 BZX524353 CJT524353 CTP524353 DDL524353 DNH524353 DXD524353 EGZ524353 EQV524353 FAR524353 FKN524353 FUJ524353 GEF524353 GOB524353 GXX524353 HHT524353 HRP524353 IBL524353 ILH524353 IVD524353 JEZ524353 JOV524353 JYR524353 KIN524353 KSJ524353 LCF524353 LMB524353 LVX524353 MFT524353 MPP524353 MZL524353 NJH524353 NTD524353 OCZ524353 OMV524353 OWR524353 PGN524353 PQJ524353 QAF524353 QKB524353 QTX524353 RDT524353 RNP524353 RXL524353 SHH524353 SRD524353 TAZ524353 TKV524353 TUR524353 UEN524353 UOJ524353 UYF524353 VIB524353 VRX524353 WBT524353 WLP524353 WVL524353 D589889 IZ589889 SV589889 ACR589889 AMN589889 AWJ589889 BGF589889 BQB589889 BZX589889 CJT589889 CTP589889 DDL589889 DNH589889 DXD589889 EGZ589889 EQV589889 FAR589889 FKN589889 FUJ589889 GEF589889 GOB589889 GXX589889 HHT589889 HRP589889 IBL589889 ILH589889 IVD589889 JEZ589889 JOV589889 JYR589889 KIN589889 KSJ589889 LCF589889 LMB589889 LVX589889 MFT589889 MPP589889 MZL589889 NJH589889 NTD589889 OCZ589889 OMV589889 OWR589889 PGN589889 PQJ589889 QAF589889 QKB589889 QTX589889 RDT589889 RNP589889 RXL589889 SHH589889 SRD589889 TAZ589889 TKV589889 TUR589889 UEN589889 UOJ589889 UYF589889 VIB589889 VRX589889 WBT589889 WLP589889 WVL589889 D655425 IZ655425 SV655425 ACR655425 AMN655425 AWJ655425 BGF655425 BQB655425 BZX655425 CJT655425 CTP655425 DDL655425 DNH655425 DXD655425 EGZ655425 EQV655425 FAR655425 FKN655425 FUJ655425 GEF655425 GOB655425 GXX655425 HHT655425 HRP655425 IBL655425 ILH655425 IVD655425 JEZ655425 JOV655425 JYR655425 KIN655425 KSJ655425 LCF655425 LMB655425 LVX655425 MFT655425 MPP655425 MZL655425 NJH655425 NTD655425 OCZ655425 OMV655425 OWR655425 PGN655425 PQJ655425 QAF655425 QKB655425 QTX655425 RDT655425 RNP655425 RXL655425 SHH655425 SRD655425 TAZ655425 TKV655425 TUR655425 UEN655425 UOJ655425 UYF655425 VIB655425 VRX655425 WBT655425 WLP655425 WVL655425 D720961 IZ720961 SV720961 ACR720961 AMN720961 AWJ720961 BGF720961 BQB720961 BZX720961 CJT720961 CTP720961 DDL720961 DNH720961 DXD720961 EGZ720961 EQV720961 FAR720961 FKN720961 FUJ720961 GEF720961 GOB720961 GXX720961 HHT720961 HRP720961 IBL720961 ILH720961 IVD720961 JEZ720961 JOV720961 JYR720961 KIN720961 KSJ720961 LCF720961 LMB720961 LVX720961 MFT720961 MPP720961 MZL720961 NJH720961 NTD720961 OCZ720961 OMV720961 OWR720961 PGN720961 PQJ720961 QAF720961 QKB720961 QTX720961 RDT720961 RNP720961 RXL720961 SHH720961 SRD720961 TAZ720961 TKV720961 TUR720961 UEN720961 UOJ720961 UYF720961 VIB720961 VRX720961 WBT720961 WLP720961 WVL720961 D786497 IZ786497 SV786497 ACR786497 AMN786497 AWJ786497 BGF786497 BQB786497 BZX786497 CJT786497 CTP786497 DDL786497 DNH786497 DXD786497 EGZ786497 EQV786497 FAR786497 FKN786497 FUJ786497 GEF786497 GOB786497 GXX786497 HHT786497 HRP786497 IBL786497 ILH786497 IVD786497 JEZ786497 JOV786497 JYR786497 KIN786497 KSJ786497 LCF786497 LMB786497 LVX786497 MFT786497 MPP786497 MZL786497 NJH786497 NTD786497 OCZ786497 OMV786497 OWR786497 PGN786497 PQJ786497 QAF786497 QKB786497 QTX786497 RDT786497 RNP786497 RXL786497 SHH786497 SRD786497 TAZ786497 TKV786497 TUR786497 UEN786497 UOJ786497 UYF786497 VIB786497 VRX786497 WBT786497 WLP786497 WVL786497 D852033 IZ852033 SV852033 ACR852033 AMN852033 AWJ852033 BGF852033 BQB852033 BZX852033 CJT852033 CTP852033 DDL852033 DNH852033 DXD852033 EGZ852033 EQV852033 FAR852033 FKN852033 FUJ852033 GEF852033 GOB852033 GXX852033 HHT852033 HRP852033 IBL852033 ILH852033 IVD852033 JEZ852033 JOV852033 JYR852033 KIN852033 KSJ852033 LCF852033 LMB852033 LVX852033 MFT852033 MPP852033 MZL852033 NJH852033 NTD852033 OCZ852033 OMV852033 OWR852033 PGN852033 PQJ852033 QAF852033 QKB852033 QTX852033 RDT852033 RNP852033 RXL852033 SHH852033 SRD852033 TAZ852033 TKV852033 TUR852033 UEN852033 UOJ852033 UYF852033 VIB852033 VRX852033 WBT852033 WLP852033 WVL852033 D917569 IZ917569 SV917569 ACR917569 AMN917569 AWJ917569 BGF917569 BQB917569 BZX917569 CJT917569 CTP917569 DDL917569 DNH917569 DXD917569 EGZ917569 EQV917569 FAR917569 FKN917569 FUJ917569 GEF917569 GOB917569 GXX917569 HHT917569 HRP917569 IBL917569 ILH917569 IVD917569 JEZ917569 JOV917569 JYR917569 KIN917569 KSJ917569 LCF917569 LMB917569 LVX917569 MFT917569 MPP917569 MZL917569 NJH917569 NTD917569 OCZ917569 OMV917569 OWR917569 PGN917569 PQJ917569 QAF917569 QKB917569 QTX917569 RDT917569 RNP917569 RXL917569 SHH917569 SRD917569 TAZ917569 TKV917569 TUR917569 UEN917569 UOJ917569 UYF917569 VIB917569 VRX917569 WBT917569 WLP917569 WVL917569 D983105 IZ983105 SV983105 ACR983105 AMN983105 AWJ983105 BGF983105 BQB983105 BZX983105 CJT983105 CTP983105 DDL983105 DNH983105 DXD983105 EGZ983105 EQV983105 FAR983105 FKN983105 FUJ983105 GEF983105 GOB983105 GXX983105 HHT983105 HRP983105 IBL983105 ILH983105 IVD983105 JEZ983105 JOV983105 JYR983105 KIN983105 KSJ983105 LCF983105 LMB983105 LVX983105 MFT983105 MPP983105 MZL983105 NJH983105 NTD983105 OCZ983105 OMV983105 OWR983105 PGN983105 PQJ983105 QAF983105 QKB983105 QTX983105 RDT983105 RNP983105 RXL983105 SHH983105 SRD983105 TAZ983105 TKV983105 TUR983105 UEN983105 UOJ983105 UYF983105 VIB983105 VRX983105 WBT983105 WLP983105 WVL983105" xr:uid="{4127328C-E4E8-468E-AF71-43145EB2B273}">
      <formula1>"2,4,6"</formula1>
      <formula2>0</formula2>
    </dataValidation>
    <dataValidation type="list" allowBlank="1" showErrorMessage="1" sqref="D66 IZ66 SV66 ACR66 AMN66 AWJ66 BGF66 BQB66 BZX66 CJT66 CTP66 DDL66 DNH66 DXD66 EGZ66 EQV66 FAR66 FKN66 FUJ66 GEF66 GOB66 GXX66 HHT66 HRP66 IBL66 ILH66 IVD66 JEZ66 JOV66 JYR66 KIN66 KSJ66 LCF66 LMB66 LVX66 MFT66 MPP66 MZL66 NJH66 NTD66 OCZ66 OMV66 OWR66 PGN66 PQJ66 QAF66 QKB66 QTX66 RDT66 RNP66 RXL66 SHH66 SRD66 TAZ66 TKV66 TUR66 UEN66 UOJ66 UYF66 VIB66 VRX66 WBT66 WLP66 WVL66 D65602 IZ65602 SV65602 ACR65602 AMN65602 AWJ65602 BGF65602 BQB65602 BZX65602 CJT65602 CTP65602 DDL65602 DNH65602 DXD65602 EGZ65602 EQV65602 FAR65602 FKN65602 FUJ65602 GEF65602 GOB65602 GXX65602 HHT65602 HRP65602 IBL65602 ILH65602 IVD65602 JEZ65602 JOV65602 JYR65602 KIN65602 KSJ65602 LCF65602 LMB65602 LVX65602 MFT65602 MPP65602 MZL65602 NJH65602 NTD65602 OCZ65602 OMV65602 OWR65602 PGN65602 PQJ65602 QAF65602 QKB65602 QTX65602 RDT65602 RNP65602 RXL65602 SHH65602 SRD65602 TAZ65602 TKV65602 TUR65602 UEN65602 UOJ65602 UYF65602 VIB65602 VRX65602 WBT65602 WLP65602 WVL65602 D131138 IZ131138 SV131138 ACR131138 AMN131138 AWJ131138 BGF131138 BQB131138 BZX131138 CJT131138 CTP131138 DDL131138 DNH131138 DXD131138 EGZ131138 EQV131138 FAR131138 FKN131138 FUJ131138 GEF131138 GOB131138 GXX131138 HHT131138 HRP131138 IBL131138 ILH131138 IVD131138 JEZ131138 JOV131138 JYR131138 KIN131138 KSJ131138 LCF131138 LMB131138 LVX131138 MFT131138 MPP131138 MZL131138 NJH131138 NTD131138 OCZ131138 OMV131138 OWR131138 PGN131138 PQJ131138 QAF131138 QKB131138 QTX131138 RDT131138 RNP131138 RXL131138 SHH131138 SRD131138 TAZ131138 TKV131138 TUR131138 UEN131138 UOJ131138 UYF131138 VIB131138 VRX131138 WBT131138 WLP131138 WVL131138 D196674 IZ196674 SV196674 ACR196674 AMN196674 AWJ196674 BGF196674 BQB196674 BZX196674 CJT196674 CTP196674 DDL196674 DNH196674 DXD196674 EGZ196674 EQV196674 FAR196674 FKN196674 FUJ196674 GEF196674 GOB196674 GXX196674 HHT196674 HRP196674 IBL196674 ILH196674 IVD196674 JEZ196674 JOV196674 JYR196674 KIN196674 KSJ196674 LCF196674 LMB196674 LVX196674 MFT196674 MPP196674 MZL196674 NJH196674 NTD196674 OCZ196674 OMV196674 OWR196674 PGN196674 PQJ196674 QAF196674 QKB196674 QTX196674 RDT196674 RNP196674 RXL196674 SHH196674 SRD196674 TAZ196674 TKV196674 TUR196674 UEN196674 UOJ196674 UYF196674 VIB196674 VRX196674 WBT196674 WLP196674 WVL196674 D262210 IZ262210 SV262210 ACR262210 AMN262210 AWJ262210 BGF262210 BQB262210 BZX262210 CJT262210 CTP262210 DDL262210 DNH262210 DXD262210 EGZ262210 EQV262210 FAR262210 FKN262210 FUJ262210 GEF262210 GOB262210 GXX262210 HHT262210 HRP262210 IBL262210 ILH262210 IVD262210 JEZ262210 JOV262210 JYR262210 KIN262210 KSJ262210 LCF262210 LMB262210 LVX262210 MFT262210 MPP262210 MZL262210 NJH262210 NTD262210 OCZ262210 OMV262210 OWR262210 PGN262210 PQJ262210 QAF262210 QKB262210 QTX262210 RDT262210 RNP262210 RXL262210 SHH262210 SRD262210 TAZ262210 TKV262210 TUR262210 UEN262210 UOJ262210 UYF262210 VIB262210 VRX262210 WBT262210 WLP262210 WVL262210 D327746 IZ327746 SV327746 ACR327746 AMN327746 AWJ327746 BGF327746 BQB327746 BZX327746 CJT327746 CTP327746 DDL327746 DNH327746 DXD327746 EGZ327746 EQV327746 FAR327746 FKN327746 FUJ327746 GEF327746 GOB327746 GXX327746 HHT327746 HRP327746 IBL327746 ILH327746 IVD327746 JEZ327746 JOV327746 JYR327746 KIN327746 KSJ327746 LCF327746 LMB327746 LVX327746 MFT327746 MPP327746 MZL327746 NJH327746 NTD327746 OCZ327746 OMV327746 OWR327746 PGN327746 PQJ327746 QAF327746 QKB327746 QTX327746 RDT327746 RNP327746 RXL327746 SHH327746 SRD327746 TAZ327746 TKV327746 TUR327746 UEN327746 UOJ327746 UYF327746 VIB327746 VRX327746 WBT327746 WLP327746 WVL327746 D393282 IZ393282 SV393282 ACR393282 AMN393282 AWJ393282 BGF393282 BQB393282 BZX393282 CJT393282 CTP393282 DDL393282 DNH393282 DXD393282 EGZ393282 EQV393282 FAR393282 FKN393282 FUJ393282 GEF393282 GOB393282 GXX393282 HHT393282 HRP393282 IBL393282 ILH393282 IVD393282 JEZ393282 JOV393282 JYR393282 KIN393282 KSJ393282 LCF393282 LMB393282 LVX393282 MFT393282 MPP393282 MZL393282 NJH393282 NTD393282 OCZ393282 OMV393282 OWR393282 PGN393282 PQJ393282 QAF393282 QKB393282 QTX393282 RDT393282 RNP393282 RXL393282 SHH393282 SRD393282 TAZ393282 TKV393282 TUR393282 UEN393282 UOJ393282 UYF393282 VIB393282 VRX393282 WBT393282 WLP393282 WVL393282 D458818 IZ458818 SV458818 ACR458818 AMN458818 AWJ458818 BGF458818 BQB458818 BZX458818 CJT458818 CTP458818 DDL458818 DNH458818 DXD458818 EGZ458818 EQV458818 FAR458818 FKN458818 FUJ458818 GEF458818 GOB458818 GXX458818 HHT458818 HRP458818 IBL458818 ILH458818 IVD458818 JEZ458818 JOV458818 JYR458818 KIN458818 KSJ458818 LCF458818 LMB458818 LVX458818 MFT458818 MPP458818 MZL458818 NJH458818 NTD458818 OCZ458818 OMV458818 OWR458818 PGN458818 PQJ458818 QAF458818 QKB458818 QTX458818 RDT458818 RNP458818 RXL458818 SHH458818 SRD458818 TAZ458818 TKV458818 TUR458818 UEN458818 UOJ458818 UYF458818 VIB458818 VRX458818 WBT458818 WLP458818 WVL458818 D524354 IZ524354 SV524354 ACR524354 AMN524354 AWJ524354 BGF524354 BQB524354 BZX524354 CJT524354 CTP524354 DDL524354 DNH524354 DXD524354 EGZ524354 EQV524354 FAR524354 FKN524354 FUJ524354 GEF524354 GOB524354 GXX524354 HHT524354 HRP524354 IBL524354 ILH524354 IVD524354 JEZ524354 JOV524354 JYR524354 KIN524354 KSJ524354 LCF524354 LMB524354 LVX524354 MFT524354 MPP524354 MZL524354 NJH524354 NTD524354 OCZ524354 OMV524354 OWR524354 PGN524354 PQJ524354 QAF524354 QKB524354 QTX524354 RDT524354 RNP524354 RXL524354 SHH524354 SRD524354 TAZ524354 TKV524354 TUR524354 UEN524354 UOJ524354 UYF524354 VIB524354 VRX524354 WBT524354 WLP524354 WVL524354 D589890 IZ589890 SV589890 ACR589890 AMN589890 AWJ589890 BGF589890 BQB589890 BZX589890 CJT589890 CTP589890 DDL589890 DNH589890 DXD589890 EGZ589890 EQV589890 FAR589890 FKN589890 FUJ589890 GEF589890 GOB589890 GXX589890 HHT589890 HRP589890 IBL589890 ILH589890 IVD589890 JEZ589890 JOV589890 JYR589890 KIN589890 KSJ589890 LCF589890 LMB589890 LVX589890 MFT589890 MPP589890 MZL589890 NJH589890 NTD589890 OCZ589890 OMV589890 OWR589890 PGN589890 PQJ589890 QAF589890 QKB589890 QTX589890 RDT589890 RNP589890 RXL589890 SHH589890 SRD589890 TAZ589890 TKV589890 TUR589890 UEN589890 UOJ589890 UYF589890 VIB589890 VRX589890 WBT589890 WLP589890 WVL589890 D655426 IZ655426 SV655426 ACR655426 AMN655426 AWJ655426 BGF655426 BQB655426 BZX655426 CJT655426 CTP655426 DDL655426 DNH655426 DXD655426 EGZ655426 EQV655426 FAR655426 FKN655426 FUJ655426 GEF655426 GOB655426 GXX655426 HHT655426 HRP655426 IBL655426 ILH655426 IVD655426 JEZ655426 JOV655426 JYR655426 KIN655426 KSJ655426 LCF655426 LMB655426 LVX655426 MFT655426 MPP655426 MZL655426 NJH655426 NTD655426 OCZ655426 OMV655426 OWR655426 PGN655426 PQJ655426 QAF655426 QKB655426 QTX655426 RDT655426 RNP655426 RXL655426 SHH655426 SRD655426 TAZ655426 TKV655426 TUR655426 UEN655426 UOJ655426 UYF655426 VIB655426 VRX655426 WBT655426 WLP655426 WVL655426 D720962 IZ720962 SV720962 ACR720962 AMN720962 AWJ720962 BGF720962 BQB720962 BZX720962 CJT720962 CTP720962 DDL720962 DNH720962 DXD720962 EGZ720962 EQV720962 FAR720962 FKN720962 FUJ720962 GEF720962 GOB720962 GXX720962 HHT720962 HRP720962 IBL720962 ILH720962 IVD720962 JEZ720962 JOV720962 JYR720962 KIN720962 KSJ720962 LCF720962 LMB720962 LVX720962 MFT720962 MPP720962 MZL720962 NJH720962 NTD720962 OCZ720962 OMV720962 OWR720962 PGN720962 PQJ720962 QAF720962 QKB720962 QTX720962 RDT720962 RNP720962 RXL720962 SHH720962 SRD720962 TAZ720962 TKV720962 TUR720962 UEN720962 UOJ720962 UYF720962 VIB720962 VRX720962 WBT720962 WLP720962 WVL720962 D786498 IZ786498 SV786498 ACR786498 AMN786498 AWJ786498 BGF786498 BQB786498 BZX786498 CJT786498 CTP786498 DDL786498 DNH786498 DXD786498 EGZ786498 EQV786498 FAR786498 FKN786498 FUJ786498 GEF786498 GOB786498 GXX786498 HHT786498 HRP786498 IBL786498 ILH786498 IVD786498 JEZ786498 JOV786498 JYR786498 KIN786498 KSJ786498 LCF786498 LMB786498 LVX786498 MFT786498 MPP786498 MZL786498 NJH786498 NTD786498 OCZ786498 OMV786498 OWR786498 PGN786498 PQJ786498 QAF786498 QKB786498 QTX786498 RDT786498 RNP786498 RXL786498 SHH786498 SRD786498 TAZ786498 TKV786498 TUR786498 UEN786498 UOJ786498 UYF786498 VIB786498 VRX786498 WBT786498 WLP786498 WVL786498 D852034 IZ852034 SV852034 ACR852034 AMN852034 AWJ852034 BGF852034 BQB852034 BZX852034 CJT852034 CTP852034 DDL852034 DNH852034 DXD852034 EGZ852034 EQV852034 FAR852034 FKN852034 FUJ852034 GEF852034 GOB852034 GXX852034 HHT852034 HRP852034 IBL852034 ILH852034 IVD852034 JEZ852034 JOV852034 JYR852034 KIN852034 KSJ852034 LCF852034 LMB852034 LVX852034 MFT852034 MPP852034 MZL852034 NJH852034 NTD852034 OCZ852034 OMV852034 OWR852034 PGN852034 PQJ852034 QAF852034 QKB852034 QTX852034 RDT852034 RNP852034 RXL852034 SHH852034 SRD852034 TAZ852034 TKV852034 TUR852034 UEN852034 UOJ852034 UYF852034 VIB852034 VRX852034 WBT852034 WLP852034 WVL852034 D917570 IZ917570 SV917570 ACR917570 AMN917570 AWJ917570 BGF917570 BQB917570 BZX917570 CJT917570 CTP917570 DDL917570 DNH917570 DXD917570 EGZ917570 EQV917570 FAR917570 FKN917570 FUJ917570 GEF917570 GOB917570 GXX917570 HHT917570 HRP917570 IBL917570 ILH917570 IVD917570 JEZ917570 JOV917570 JYR917570 KIN917570 KSJ917570 LCF917570 LMB917570 LVX917570 MFT917570 MPP917570 MZL917570 NJH917570 NTD917570 OCZ917570 OMV917570 OWR917570 PGN917570 PQJ917570 QAF917570 QKB917570 QTX917570 RDT917570 RNP917570 RXL917570 SHH917570 SRD917570 TAZ917570 TKV917570 TUR917570 UEN917570 UOJ917570 UYF917570 VIB917570 VRX917570 WBT917570 WLP917570 WVL917570 D983106 IZ983106 SV983106 ACR983106 AMN983106 AWJ983106 BGF983106 BQB983106 BZX983106 CJT983106 CTP983106 DDL983106 DNH983106 DXD983106 EGZ983106 EQV983106 FAR983106 FKN983106 FUJ983106 GEF983106 GOB983106 GXX983106 HHT983106 HRP983106 IBL983106 ILH983106 IVD983106 JEZ983106 JOV983106 JYR983106 KIN983106 KSJ983106 LCF983106 LMB983106 LVX983106 MFT983106 MPP983106 MZL983106 NJH983106 NTD983106 OCZ983106 OMV983106 OWR983106 PGN983106 PQJ983106 QAF983106 QKB983106 QTX983106 RDT983106 RNP983106 RXL983106 SHH983106 SRD983106 TAZ983106 TKV983106 TUR983106 UEN983106 UOJ983106 UYF983106 VIB983106 VRX983106 WBT983106 WLP983106 WVL983106" xr:uid="{4FCE4D37-3FCA-431D-8BFF-B8CFF10606C9}">
      <formula1>"6,8,10,12"</formula1>
      <formula2>0</formula2>
    </dataValidation>
  </dataValidations>
  <printOptions horizontalCentered="1"/>
  <pageMargins left="0.2" right="0.2" top="0.78749999999999998" bottom="0.78749999999999998" header="0.51180555555555596" footer="0.51180555555555596"/>
  <pageSetup paperSize="9" scale="85" firstPageNumber="0" orientation="portrait" horizontalDpi="300" verticalDpi="30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X56"/>
  <sheetViews>
    <sheetView view="pageBreakPreview" topLeftCell="A9" zoomScaleNormal="100" zoomScaleSheetLayoutView="100" workbookViewId="0">
      <selection activeCell="D22" sqref="D22"/>
    </sheetView>
  </sheetViews>
  <sheetFormatPr defaultRowHeight="15" x14ac:dyDescent="0.25"/>
  <cols>
    <col min="1" max="1" width="6.7109375" style="51" customWidth="1"/>
    <col min="2" max="2" width="4.140625" style="51" customWidth="1"/>
    <col min="3" max="3" width="14.7109375" style="51" customWidth="1"/>
    <col min="4" max="4" width="12.42578125" style="51" customWidth="1"/>
    <col min="5" max="5" width="11.7109375" style="51" customWidth="1"/>
    <col min="6" max="6" width="7.85546875" style="51" customWidth="1"/>
    <col min="7" max="7" width="9.7109375" style="51" customWidth="1"/>
    <col min="8" max="8" width="12.5703125" style="51" customWidth="1"/>
    <col min="9" max="9" width="7.7109375" style="51" customWidth="1"/>
    <col min="10" max="10" width="10.7109375" style="51" customWidth="1"/>
    <col min="11" max="11" width="3" style="51" customWidth="1"/>
    <col min="12" max="12" width="9.140625" style="51"/>
    <col min="13" max="13" width="3.28515625" style="51" customWidth="1"/>
    <col min="14" max="14" width="9.140625" style="51"/>
    <col min="15" max="15" width="13.5703125" style="51" bestFit="1" customWidth="1"/>
    <col min="16" max="16" width="8.5703125" style="51" customWidth="1"/>
    <col min="17" max="17" width="8.28515625" style="51" customWidth="1"/>
    <col min="18" max="18" width="8.5703125" style="51" customWidth="1"/>
    <col min="19" max="19" width="8.42578125" style="51" customWidth="1"/>
    <col min="20" max="20" width="9.140625" style="51"/>
    <col min="21" max="21" width="6.7109375" style="51" customWidth="1"/>
    <col min="22" max="22" width="6.140625" style="51" customWidth="1"/>
    <col min="23" max="23" width="7.5703125" style="51" customWidth="1"/>
    <col min="24" max="24" width="4.140625" style="51" customWidth="1"/>
    <col min="25" max="28" width="9.140625" style="51"/>
    <col min="29" max="29" width="10.140625" style="51" customWidth="1"/>
    <col min="30" max="30" width="10" style="51" bestFit="1" customWidth="1"/>
    <col min="31" max="31" width="11.28515625" style="51" bestFit="1" customWidth="1"/>
    <col min="32" max="32" width="14.140625" style="51" bestFit="1" customWidth="1"/>
    <col min="33" max="16384" width="9.140625" style="51"/>
  </cols>
  <sheetData>
    <row r="1" spans="2:24" x14ac:dyDescent="0.25">
      <c r="B1" s="52"/>
      <c r="C1" s="65"/>
      <c r="D1" s="65"/>
      <c r="E1" s="65"/>
      <c r="F1" s="65"/>
      <c r="G1" s="65"/>
      <c r="H1" s="65"/>
      <c r="I1" s="65"/>
      <c r="J1" s="65"/>
      <c r="K1" s="66"/>
    </row>
    <row r="2" spans="2:24" s="50" customFormat="1" ht="15.75" customHeight="1" x14ac:dyDescent="0.25">
      <c r="B2" s="632" t="s">
        <v>49</v>
      </c>
      <c r="C2" s="633"/>
      <c r="D2" s="633"/>
      <c r="E2" s="633"/>
      <c r="F2" s="633"/>
      <c r="G2" s="633"/>
      <c r="H2" s="633"/>
      <c r="I2" s="633"/>
      <c r="J2" s="633"/>
      <c r="K2" s="634"/>
      <c r="L2" s="273"/>
      <c r="M2" s="273"/>
    </row>
    <row r="3" spans="2:24" x14ac:dyDescent="0.25">
      <c r="B3" s="52"/>
      <c r="C3" s="65"/>
      <c r="D3" s="65"/>
      <c r="E3" s="65"/>
      <c r="F3" s="66"/>
      <c r="G3" s="65"/>
      <c r="H3" s="65"/>
      <c r="I3" s="65"/>
      <c r="J3" s="282"/>
      <c r="K3" s="283"/>
    </row>
    <row r="4" spans="2:24" x14ac:dyDescent="0.25">
      <c r="B4" s="53"/>
      <c r="C4" s="57"/>
      <c r="D4" s="57"/>
      <c r="E4" s="57"/>
      <c r="F4" s="60"/>
      <c r="G4" s="57"/>
      <c r="H4" s="57"/>
      <c r="I4" s="57"/>
      <c r="J4" s="57"/>
      <c r="K4" s="60"/>
    </row>
    <row r="5" spans="2:24" x14ac:dyDescent="0.25">
      <c r="B5" s="53"/>
      <c r="C5" s="55" t="s">
        <v>109</v>
      </c>
      <c r="D5" s="55" t="s">
        <v>110</v>
      </c>
      <c r="E5" s="56">
        <f>5*2.54*10</f>
        <v>127</v>
      </c>
      <c r="F5" s="60"/>
      <c r="H5" s="54" t="s">
        <v>165</v>
      </c>
      <c r="I5" s="58"/>
      <c r="J5" s="59">
        <v>0</v>
      </c>
      <c r="K5" s="60"/>
    </row>
    <row r="6" spans="2:24" x14ac:dyDescent="0.25">
      <c r="B6" s="53"/>
      <c r="C6" s="55" t="s">
        <v>29</v>
      </c>
      <c r="D6" s="55" t="s">
        <v>23</v>
      </c>
      <c r="E6" s="61">
        <v>20</v>
      </c>
      <c r="F6" s="60"/>
      <c r="G6" s="57"/>
      <c r="H6" s="57"/>
      <c r="I6" s="57"/>
      <c r="J6" s="57"/>
      <c r="K6" s="60"/>
    </row>
    <row r="7" spans="2:24" x14ac:dyDescent="0.25">
      <c r="B7" s="53"/>
      <c r="C7" s="55" t="s">
        <v>30</v>
      </c>
      <c r="D7" s="55" t="s">
        <v>25</v>
      </c>
      <c r="E7" s="61">
        <v>500</v>
      </c>
      <c r="F7" s="60"/>
      <c r="K7" s="62"/>
    </row>
    <row r="8" spans="2:24" x14ac:dyDescent="0.25">
      <c r="B8" s="53"/>
      <c r="C8" s="57"/>
      <c r="D8" s="57"/>
      <c r="E8" s="57"/>
      <c r="F8" s="272"/>
      <c r="G8" s="64"/>
      <c r="H8" s="64"/>
      <c r="I8" s="57"/>
      <c r="J8" s="57"/>
      <c r="K8" s="60"/>
      <c r="M8" s="52"/>
      <c r="N8" s="65"/>
      <c r="O8" s="65"/>
      <c r="P8" s="65"/>
      <c r="Q8" s="65"/>
      <c r="R8" s="65"/>
      <c r="S8" s="65"/>
      <c r="T8" s="65"/>
      <c r="U8" s="65"/>
      <c r="V8" s="65"/>
      <c r="W8" s="65"/>
      <c r="X8" s="66"/>
    </row>
    <row r="9" spans="2:24" x14ac:dyDescent="0.25">
      <c r="B9" s="53"/>
      <c r="C9" s="67" t="s">
        <v>58</v>
      </c>
      <c r="D9" s="55"/>
      <c r="E9" s="68"/>
      <c r="F9" s="60"/>
      <c r="G9" s="57"/>
      <c r="H9" s="57"/>
      <c r="I9" s="57"/>
      <c r="J9" s="57"/>
      <c r="K9" s="60"/>
      <c r="M9" s="53"/>
      <c r="N9" s="274" t="s">
        <v>197</v>
      </c>
      <c r="X9" s="62"/>
    </row>
    <row r="10" spans="2:24" x14ac:dyDescent="0.25">
      <c r="B10" s="53"/>
      <c r="C10" s="69" t="s">
        <v>173</v>
      </c>
      <c r="D10" s="70"/>
      <c r="E10" s="70"/>
      <c r="F10" s="60"/>
      <c r="H10" s="69" t="s">
        <v>172</v>
      </c>
      <c r="I10" s="70"/>
      <c r="J10" s="70"/>
      <c r="K10" s="62"/>
      <c r="M10" s="53"/>
      <c r="X10" s="62"/>
    </row>
    <row r="11" spans="2:24" x14ac:dyDescent="0.25">
      <c r="B11" s="53"/>
      <c r="C11" s="71" t="s">
        <v>161</v>
      </c>
      <c r="D11" s="55" t="s">
        <v>162</v>
      </c>
      <c r="E11" s="72">
        <f>(E5/1000)*25</f>
        <v>3.1749999999999998</v>
      </c>
      <c r="F11" s="139"/>
      <c r="H11" s="71" t="s">
        <v>161</v>
      </c>
      <c r="I11" s="55" t="s">
        <v>162</v>
      </c>
      <c r="J11" s="74">
        <f>IF(J5="","",((E5/1000)*25))</f>
        <v>3.1749999999999998</v>
      </c>
      <c r="K11" s="62"/>
      <c r="M11" s="53"/>
      <c r="N11" s="275" t="s">
        <v>37</v>
      </c>
      <c r="O11" s="275"/>
      <c r="P11" s="275"/>
      <c r="S11" s="275" t="s">
        <v>38</v>
      </c>
      <c r="T11" s="275"/>
      <c r="U11" s="275"/>
      <c r="X11" s="62"/>
    </row>
    <row r="12" spans="2:24" ht="14.25" customHeight="1" x14ac:dyDescent="0.25">
      <c r="B12" s="53"/>
      <c r="C12" s="71" t="s">
        <v>62</v>
      </c>
      <c r="D12" s="55" t="s">
        <v>163</v>
      </c>
      <c r="E12" s="75">
        <v>2</v>
      </c>
      <c r="F12" s="60"/>
      <c r="H12" s="71" t="s">
        <v>166</v>
      </c>
      <c r="I12" s="55" t="s">
        <v>167</v>
      </c>
      <c r="J12" s="76">
        <f>(J5/1000)*14.2</f>
        <v>0</v>
      </c>
      <c r="K12" s="62"/>
      <c r="M12" s="53"/>
      <c r="N12" s="77" t="s">
        <v>2</v>
      </c>
      <c r="O12" s="78">
        <f>(0.87435*$E$7*$E$7)/($E$6*10000)</f>
        <v>1.0929374999999999</v>
      </c>
      <c r="P12" s="276" t="s">
        <v>203</v>
      </c>
      <c r="S12" s="77" t="s">
        <v>2</v>
      </c>
      <c r="T12" s="78">
        <f>(0.87435*$E$7*$E$7)/($E$6*10000)</f>
        <v>1.0929374999999999</v>
      </c>
      <c r="U12" s="276" t="s">
        <v>203</v>
      </c>
      <c r="X12" s="62"/>
    </row>
    <row r="13" spans="2:24" x14ac:dyDescent="0.25">
      <c r="B13" s="53"/>
      <c r="C13" s="71" t="s">
        <v>200</v>
      </c>
      <c r="D13" s="55" t="s">
        <v>164</v>
      </c>
      <c r="E13" s="75">
        <v>1.5</v>
      </c>
      <c r="F13" s="60"/>
      <c r="H13" s="71" t="s">
        <v>62</v>
      </c>
      <c r="I13" s="55" t="s">
        <v>163</v>
      </c>
      <c r="J13" s="79">
        <v>2</v>
      </c>
      <c r="K13" s="62"/>
      <c r="M13" s="53"/>
      <c r="N13" s="80" t="s">
        <v>0</v>
      </c>
      <c r="O13" s="81">
        <f>-(0.87*$E$7)/100</f>
        <v>-4.3499999999999996</v>
      </c>
      <c r="P13" s="276" t="s">
        <v>181</v>
      </c>
      <c r="S13" s="80" t="s">
        <v>0</v>
      </c>
      <c r="T13" s="81">
        <f>-(0.87*$E$7)/100</f>
        <v>-4.3499999999999996</v>
      </c>
      <c r="U13" s="276" t="s">
        <v>181</v>
      </c>
      <c r="X13" s="62"/>
    </row>
    <row r="14" spans="2:24" ht="16.5" x14ac:dyDescent="0.25">
      <c r="B14" s="53"/>
      <c r="C14" s="82" t="s">
        <v>65</v>
      </c>
      <c r="D14" s="83" t="s">
        <v>169</v>
      </c>
      <c r="E14" s="84">
        <f>SUM(E11:E13)</f>
        <v>6.6749999999999998</v>
      </c>
      <c r="F14" s="60"/>
      <c r="H14" s="71" t="s">
        <v>200</v>
      </c>
      <c r="I14" s="55" t="s">
        <v>164</v>
      </c>
      <c r="J14" s="79">
        <v>0</v>
      </c>
      <c r="K14" s="62"/>
      <c r="M14" s="53"/>
      <c r="N14" s="80" t="s">
        <v>35</v>
      </c>
      <c r="O14" s="81">
        <f>(D31*1000000)/(1000*($E$5-20)*($E$5-20))</f>
        <v>1.0165973880775612</v>
      </c>
      <c r="P14" s="276" t="s">
        <v>204</v>
      </c>
      <c r="S14" s="80" t="s">
        <v>36</v>
      </c>
      <c r="T14" s="81">
        <f>(D32*1000000)/(1000*($E$5-20)*($E$5-20))</f>
        <v>0.86019778991178253</v>
      </c>
      <c r="U14" s="276" t="s">
        <v>204</v>
      </c>
      <c r="X14" s="62"/>
    </row>
    <row r="15" spans="2:24" ht="16.5" x14ac:dyDescent="0.25">
      <c r="B15" s="53"/>
      <c r="C15" s="85" t="s">
        <v>66</v>
      </c>
      <c r="D15" s="86" t="s">
        <v>168</v>
      </c>
      <c r="E15" s="87">
        <f>1.5*E14</f>
        <v>10.012499999999999</v>
      </c>
      <c r="F15" s="60"/>
      <c r="H15" s="82" t="s">
        <v>65</v>
      </c>
      <c r="I15" s="83" t="s">
        <v>170</v>
      </c>
      <c r="J15" s="88">
        <f>IF(J5="","",SUM(J11:J14))</f>
        <v>5.1749999999999998</v>
      </c>
      <c r="K15" s="62"/>
      <c r="M15" s="53"/>
      <c r="N15" s="89" t="s">
        <v>33</v>
      </c>
      <c r="O15" s="81">
        <f>(-O13-SQRT((O13*O13)-(4*O12*O14)))/(2*O12)</f>
        <v>0.24931813100884567</v>
      </c>
      <c r="P15" s="276" t="s">
        <v>205</v>
      </c>
      <c r="S15" s="89" t="s">
        <v>34</v>
      </c>
      <c r="T15" s="81">
        <f>(-T13-SQRT((O13*O13)-(4*T12*T14)))/(2*T12)</f>
        <v>0.20868881223385907</v>
      </c>
      <c r="U15" s="276" t="s">
        <v>205</v>
      </c>
      <c r="X15" s="62"/>
    </row>
    <row r="16" spans="2:24" x14ac:dyDescent="0.25">
      <c r="B16" s="53"/>
      <c r="C16" s="57"/>
      <c r="D16" s="57"/>
      <c r="E16" s="57"/>
      <c r="F16" s="60"/>
      <c r="H16" s="85" t="s">
        <v>66</v>
      </c>
      <c r="I16" s="86" t="s">
        <v>171</v>
      </c>
      <c r="J16" s="87">
        <f>IF(J5="","",(1.5*J15))</f>
        <v>7.7624999999999993</v>
      </c>
      <c r="K16" s="62"/>
      <c r="M16" s="53"/>
      <c r="N16" s="90" t="s">
        <v>1</v>
      </c>
      <c r="O16" s="91">
        <f>(O15*1000*($E$5-20))/100</f>
        <v>266.7704001794649</v>
      </c>
      <c r="P16" s="276" t="s">
        <v>182</v>
      </c>
      <c r="S16" s="90" t="s">
        <v>1</v>
      </c>
      <c r="T16" s="91">
        <f>(T15*1000*($E$5-20))/100</f>
        <v>223.29702909022919</v>
      </c>
      <c r="U16" s="276" t="s">
        <v>182</v>
      </c>
      <c r="X16" s="62"/>
    </row>
    <row r="17" spans="2:24" x14ac:dyDescent="0.25">
      <c r="B17" s="134"/>
      <c r="C17" s="249"/>
      <c r="D17" s="249"/>
      <c r="E17" s="249"/>
      <c r="F17" s="250"/>
      <c r="G17" s="249"/>
      <c r="H17" s="249"/>
      <c r="I17" s="249"/>
      <c r="J17" s="249"/>
      <c r="K17" s="250"/>
      <c r="M17" s="53"/>
      <c r="N17" s="92"/>
      <c r="R17" s="92"/>
      <c r="X17" s="62"/>
    </row>
    <row r="18" spans="2:24" x14ac:dyDescent="0.25">
      <c r="B18" s="53"/>
      <c r="K18" s="62"/>
      <c r="M18" s="53"/>
      <c r="X18" s="62"/>
    </row>
    <row r="19" spans="2:24" s="93" customFormat="1" ht="14.25" customHeight="1" x14ac:dyDescent="0.25">
      <c r="B19" s="94"/>
      <c r="C19" s="92" t="s">
        <v>24</v>
      </c>
      <c r="D19" s="92"/>
      <c r="E19" s="92"/>
      <c r="F19" s="92"/>
      <c r="G19" s="92"/>
      <c r="K19" s="95"/>
      <c r="M19" s="94"/>
      <c r="N19" s="96" t="s">
        <v>43</v>
      </c>
      <c r="O19" s="97" t="s">
        <v>113</v>
      </c>
      <c r="P19" s="97" t="s">
        <v>206</v>
      </c>
      <c r="Q19" s="51"/>
      <c r="R19" s="51"/>
      <c r="S19" s="51"/>
      <c r="T19" s="51"/>
      <c r="U19" s="51"/>
      <c r="V19" s="51"/>
      <c r="W19" s="51"/>
      <c r="X19" s="95"/>
    </row>
    <row r="20" spans="2:24" s="93" customFormat="1" x14ac:dyDescent="0.25">
      <c r="B20" s="94"/>
      <c r="C20" s="77" t="s">
        <v>185</v>
      </c>
      <c r="D20" s="277" t="s">
        <v>184</v>
      </c>
      <c r="H20" s="92"/>
      <c r="K20" s="95"/>
      <c r="M20" s="94"/>
      <c r="N20" s="98"/>
      <c r="O20" s="99">
        <f>0.12</f>
        <v>0.12</v>
      </c>
      <c r="P20" s="100">
        <f>(0.12*1000*$E$5)/100</f>
        <v>152.4</v>
      </c>
      <c r="Q20" s="51"/>
      <c r="R20" s="51"/>
      <c r="S20" s="51"/>
      <c r="T20" s="51"/>
      <c r="U20" s="51"/>
      <c r="V20" s="51"/>
      <c r="W20" s="51"/>
      <c r="X20" s="95"/>
    </row>
    <row r="21" spans="2:24" s="93" customFormat="1" x14ac:dyDescent="0.25">
      <c r="B21" s="94"/>
      <c r="C21" s="80" t="s">
        <v>19</v>
      </c>
      <c r="D21" s="101">
        <f>IF(D20="Regular",E15,J16)</f>
        <v>10.012499999999999</v>
      </c>
      <c r="E21" s="63"/>
      <c r="F21" s="63"/>
      <c r="G21" s="63"/>
      <c r="H21" s="92"/>
      <c r="K21" s="95"/>
      <c r="M21" s="94"/>
      <c r="N21" s="51"/>
      <c r="O21" s="51"/>
      <c r="P21" s="51"/>
      <c r="Q21" s="51"/>
      <c r="R21" s="51"/>
      <c r="S21" s="51"/>
      <c r="T21" s="51"/>
      <c r="U21" s="51"/>
      <c r="V21" s="51"/>
      <c r="W21" s="51"/>
      <c r="X21" s="95"/>
    </row>
    <row r="22" spans="2:24" s="93" customFormat="1" x14ac:dyDescent="0.25">
      <c r="B22" s="94"/>
      <c r="C22" s="80" t="s">
        <v>186</v>
      </c>
      <c r="D22" s="102">
        <f>15.5*12*2.54*10/1000</f>
        <v>4.7243999999999993</v>
      </c>
      <c r="H22" s="103" t="s">
        <v>188</v>
      </c>
      <c r="I22" s="104">
        <f>D22/D23</f>
        <v>1.1272727272727272</v>
      </c>
      <c r="K22" s="95"/>
      <c r="M22" s="94"/>
      <c r="N22" s="635" t="s">
        <v>27</v>
      </c>
      <c r="O22" s="635"/>
      <c r="P22" s="635"/>
      <c r="Q22" s="635"/>
      <c r="R22" s="635"/>
      <c r="S22" s="635"/>
      <c r="T22" s="51"/>
      <c r="U22" s="636" t="s">
        <v>28</v>
      </c>
      <c r="V22" s="105">
        <v>1</v>
      </c>
      <c r="W22" s="105">
        <v>5.6000000000000001E-2</v>
      </c>
      <c r="X22" s="95"/>
    </row>
    <row r="23" spans="2:24" ht="13.5" customHeight="1" x14ac:dyDescent="0.25">
      <c r="B23" s="53"/>
      <c r="C23" s="90" t="s">
        <v>187</v>
      </c>
      <c r="D23" s="102">
        <f>13.75*12*2.54*10/1000</f>
        <v>4.1909999999999998</v>
      </c>
      <c r="H23" s="106" t="s">
        <v>111</v>
      </c>
      <c r="I23" s="107" t="str">
        <f>IF(I22&lt;=2,"+","-")</f>
        <v>+</v>
      </c>
      <c r="K23" s="62"/>
      <c r="M23" s="53"/>
      <c r="N23" s="97" t="s">
        <v>26</v>
      </c>
      <c r="O23" s="97"/>
      <c r="P23" s="97"/>
      <c r="Q23" s="108" t="s">
        <v>207</v>
      </c>
      <c r="R23" s="108"/>
      <c r="S23" s="108"/>
      <c r="T23" s="109" t="s">
        <v>208</v>
      </c>
      <c r="U23" s="637"/>
      <c r="V23" s="105">
        <v>1.1000000000000001</v>
      </c>
      <c r="W23" s="105">
        <v>6.4000000000000001E-2</v>
      </c>
      <c r="X23" s="62"/>
    </row>
    <row r="24" spans="2:24" ht="26.25" customHeight="1" x14ac:dyDescent="0.25">
      <c r="B24" s="53"/>
      <c r="F24" s="110"/>
      <c r="K24" s="62"/>
      <c r="M24" s="53"/>
      <c r="N24" s="111" t="s">
        <v>114</v>
      </c>
      <c r="O24" s="111" t="s">
        <v>115</v>
      </c>
      <c r="P24" s="111" t="s">
        <v>116</v>
      </c>
      <c r="Q24" s="111" t="s">
        <v>114</v>
      </c>
      <c r="R24" s="111" t="s">
        <v>115</v>
      </c>
      <c r="S24" s="111" t="s">
        <v>199</v>
      </c>
      <c r="T24" s="112"/>
      <c r="U24" s="637"/>
      <c r="V24" s="105">
        <v>1.2</v>
      </c>
      <c r="W24" s="105">
        <v>7.1999999999999995E-2</v>
      </c>
      <c r="X24" s="62"/>
    </row>
    <row r="25" spans="2:24" x14ac:dyDescent="0.25">
      <c r="B25" s="53"/>
      <c r="F25" s="110"/>
      <c r="K25" s="62"/>
      <c r="M25" s="53"/>
      <c r="N25" s="78">
        <f>IF(I22&lt;=1.1,1,IF(I22&lt;=1.2,1.1,IF(I22&lt;=1.3,1.2,IF(I22&lt;=1.4,1.3,IF(I22&lt;=1.5,1.4,IF(I22&lt;=1.75,1.5,IF(I22&lt;=2,1.75)))))))</f>
        <v>1.1000000000000001</v>
      </c>
      <c r="O25" s="78">
        <f>IF(I22&lt;=1.1,1.1,IF(I22&lt;=1.2,1.2,IF(I22&lt;=1.3,1.3,IF(I22&lt;=1.4,1.4,IF(I22&lt;=1.5,1.5,IF(I22&lt;=1.75,1.75,IF(I22&lt;=2,2)))))))</f>
        <v>1.2</v>
      </c>
      <c r="P25" s="78">
        <f>I22</f>
        <v>1.1272727272727272</v>
      </c>
      <c r="Q25" s="97">
        <f>VLOOKUP(N25,$V$22:$W$28,2)</f>
        <v>6.4000000000000001E-2</v>
      </c>
      <c r="R25" s="97">
        <f>VLOOKUP(O25,$V$22:$W$28,2)</f>
        <v>7.1999999999999995E-2</v>
      </c>
      <c r="S25" s="81">
        <f>Q25+((R25-Q25)*(P25-N25)/(O25-N25))</f>
        <v>6.6181818181818175E-2</v>
      </c>
      <c r="T25" s="113">
        <f>0.056</f>
        <v>5.6000000000000001E-2</v>
      </c>
      <c r="U25" s="637"/>
      <c r="V25" s="105">
        <v>1.3</v>
      </c>
      <c r="W25" s="105">
        <v>7.9000000000000001E-2</v>
      </c>
      <c r="X25" s="62"/>
    </row>
    <row r="26" spans="2:24" x14ac:dyDescent="0.25">
      <c r="B26" s="53"/>
      <c r="C26" s="92" t="s">
        <v>117</v>
      </c>
      <c r="D26" s="253"/>
      <c r="E26" s="114" t="s">
        <v>189</v>
      </c>
      <c r="F26" s="114" t="s">
        <v>190</v>
      </c>
      <c r="K26" s="62"/>
      <c r="M26" s="53"/>
      <c r="U26" s="637"/>
      <c r="V26" s="105">
        <v>1.4</v>
      </c>
      <c r="W26" s="105">
        <v>8.5000000000000006E-2</v>
      </c>
      <c r="X26" s="62"/>
    </row>
    <row r="27" spans="2:24" x14ac:dyDescent="0.25">
      <c r="B27" s="53"/>
      <c r="C27" s="115" t="s">
        <v>209</v>
      </c>
      <c r="D27" s="116">
        <f>IF(I22&lt;=2,(D21*D23/2)*(1-((1/3)*(D23/D22)^2)),(D21*D23/2))</f>
        <v>15.477542076938084</v>
      </c>
      <c r="E27" s="114" t="s">
        <v>191</v>
      </c>
      <c r="F27" s="73" t="s">
        <v>210</v>
      </c>
      <c r="K27" s="62"/>
      <c r="M27" s="53"/>
      <c r="U27" s="637"/>
      <c r="V27" s="105">
        <v>1.5</v>
      </c>
      <c r="W27" s="105">
        <v>8.8999999999999996E-2</v>
      </c>
      <c r="X27" s="62"/>
    </row>
    <row r="28" spans="2:24" x14ac:dyDescent="0.25">
      <c r="B28" s="53"/>
      <c r="C28" s="117" t="s">
        <v>211</v>
      </c>
      <c r="D28" s="118">
        <f>IF(I22&lt;=2,(D21*D23/3),"")</f>
        <v>13.987462499999999</v>
      </c>
      <c r="F28" s="73" t="s">
        <v>192</v>
      </c>
      <c r="K28" s="62"/>
      <c r="M28" s="53"/>
      <c r="U28" s="638"/>
      <c r="V28" s="105">
        <v>2</v>
      </c>
      <c r="W28" s="105">
        <v>0.107</v>
      </c>
      <c r="X28" s="62"/>
    </row>
    <row r="29" spans="2:24" x14ac:dyDescent="0.25">
      <c r="B29" s="53"/>
      <c r="K29" s="62"/>
      <c r="M29" s="53"/>
      <c r="X29" s="62"/>
    </row>
    <row r="30" spans="2:24" x14ac:dyDescent="0.25">
      <c r="B30" s="53"/>
      <c r="C30" s="92" t="s">
        <v>31</v>
      </c>
      <c r="D30" s="253"/>
      <c r="E30" s="114" t="s">
        <v>189</v>
      </c>
      <c r="F30" s="114" t="s">
        <v>190</v>
      </c>
      <c r="K30" s="62"/>
      <c r="M30" s="53"/>
      <c r="N30" s="119" t="s">
        <v>16</v>
      </c>
      <c r="O30" s="120">
        <f>(700/(1100+(0.87*E7)))*(E5-20)</f>
        <v>48.79478827361563</v>
      </c>
      <c r="P30" s="73" t="s">
        <v>180</v>
      </c>
      <c r="X30" s="62"/>
    </row>
    <row r="31" spans="2:24" x14ac:dyDescent="0.25">
      <c r="B31" s="53"/>
      <c r="C31" s="121" t="s">
        <v>32</v>
      </c>
      <c r="D31" s="122">
        <f>IF(I22&lt;=2,(S25*D21*D23^2),((D21*D23^2)/8))</f>
        <v>11.639023496099997</v>
      </c>
      <c r="E31" s="114" t="s">
        <v>212</v>
      </c>
      <c r="F31" s="114" t="s">
        <v>213</v>
      </c>
      <c r="K31" s="62"/>
      <c r="M31" s="53"/>
      <c r="N31" s="80" t="s">
        <v>48</v>
      </c>
      <c r="O31" s="123">
        <f>((0.36*$E$6*1000*O30*(($E$5-20)-(0.416*O30))))/1000000</f>
        <v>30.46013926853335</v>
      </c>
      <c r="P31" s="73" t="s">
        <v>183</v>
      </c>
      <c r="X31" s="62"/>
    </row>
    <row r="32" spans="2:24" ht="16.5" x14ac:dyDescent="0.25">
      <c r="B32" s="53"/>
      <c r="C32" s="121" t="str">
        <f>IF(I22&lt;=2,"My","")</f>
        <v>My</v>
      </c>
      <c r="D32" s="122">
        <f>IF(I22&lt;=2,(T25*D21*D23^2),"")</f>
        <v>9.8484044966999988</v>
      </c>
      <c r="F32" s="114" t="s">
        <v>214</v>
      </c>
      <c r="K32" s="62"/>
      <c r="M32" s="53"/>
      <c r="N32" s="124" t="s">
        <v>215</v>
      </c>
      <c r="O32" s="125">
        <f>(O31*1000000)/(1000*($E$5-20)^2)</f>
        <v>2.6605065305732682</v>
      </c>
      <c r="X32" s="62"/>
    </row>
    <row r="33" spans="2:24" ht="16.5" x14ac:dyDescent="0.25">
      <c r="B33" s="53"/>
      <c r="K33" s="62"/>
      <c r="M33" s="53"/>
      <c r="N33" s="124" t="s">
        <v>216</v>
      </c>
      <c r="O33" s="125">
        <f>(D31*1000000)/(1000*($E$5-20)^2)</f>
        <v>1.0165973880775612</v>
      </c>
      <c r="X33" s="62"/>
    </row>
    <row r="34" spans="2:24" ht="16.5" x14ac:dyDescent="0.25">
      <c r="B34" s="53"/>
      <c r="C34" s="103" t="s">
        <v>112</v>
      </c>
      <c r="D34" s="126" t="str">
        <f>IF(O31&lt;MAX(D31:D32),"Increase","OK")</f>
        <v>OK</v>
      </c>
      <c r="E34" s="73" t="s">
        <v>196</v>
      </c>
      <c r="F34" s="114"/>
      <c r="K34" s="62"/>
      <c r="M34" s="53"/>
      <c r="N34" s="127" t="s">
        <v>217</v>
      </c>
      <c r="O34" s="125">
        <f>(D32*1000000)/(1000*($E$5-20)^2)</f>
        <v>0.86019778991178253</v>
      </c>
      <c r="X34" s="62"/>
    </row>
    <row r="35" spans="2:24" x14ac:dyDescent="0.25">
      <c r="B35" s="53"/>
      <c r="C35" s="106" t="s">
        <v>178</v>
      </c>
      <c r="D35" s="128">
        <f>O38</f>
        <v>17.015825902206302</v>
      </c>
      <c r="E35" s="73" t="s">
        <v>218</v>
      </c>
      <c r="K35" s="62"/>
      <c r="M35" s="53"/>
      <c r="Q35" s="275"/>
      <c r="R35" s="275"/>
      <c r="S35" s="275"/>
      <c r="T35" s="275"/>
      <c r="X35" s="62"/>
    </row>
    <row r="36" spans="2:24" ht="16.5" customHeight="1" x14ac:dyDescent="0.25">
      <c r="B36" s="53"/>
      <c r="K36" s="62"/>
      <c r="M36" s="53"/>
      <c r="N36" s="129" t="s">
        <v>176</v>
      </c>
      <c r="O36" s="130">
        <f>5000*SQRT($E$6)*1000</f>
        <v>22360679.774997897</v>
      </c>
      <c r="Q36" s="275"/>
      <c r="R36" s="275"/>
      <c r="S36" s="275"/>
      <c r="T36" s="275"/>
      <c r="X36" s="62"/>
    </row>
    <row r="37" spans="2:24" x14ac:dyDescent="0.25">
      <c r="B37" s="53"/>
      <c r="C37" s="639" t="s">
        <v>6</v>
      </c>
      <c r="D37" s="100" t="s">
        <v>39</v>
      </c>
      <c r="E37" s="100" t="str">
        <f>IF(I22&lt;=2,"Asty","")</f>
        <v>Asty</v>
      </c>
      <c r="F37" s="73" t="s">
        <v>193</v>
      </c>
      <c r="I37" s="114" t="s">
        <v>177</v>
      </c>
      <c r="K37" s="62"/>
      <c r="M37" s="53"/>
      <c r="N37" s="131" t="s">
        <v>84</v>
      </c>
      <c r="O37" s="130">
        <f>((1000*$E$5^3)/12)/1000000000000</f>
        <v>1.7069858333333335E-4</v>
      </c>
      <c r="P37" s="73" t="s">
        <v>219</v>
      </c>
      <c r="U37" s="278"/>
      <c r="V37" s="278"/>
      <c r="W37" s="278"/>
      <c r="X37" s="62"/>
    </row>
    <row r="38" spans="2:24" ht="14.25" customHeight="1" x14ac:dyDescent="0.25">
      <c r="B38" s="53"/>
      <c r="C38" s="640"/>
      <c r="D38" s="132">
        <f>IF(O31&lt;MAX(D31:D32),"",IF(O15&lt;O20,P20,O16))</f>
        <v>266.7704001794649</v>
      </c>
      <c r="E38" s="132">
        <f>IF(I22&lt;=2,IF(T15&lt;O20,P20,T16),"")</f>
        <v>223.29702909022919</v>
      </c>
      <c r="F38" s="73" t="s">
        <v>194</v>
      </c>
      <c r="K38" s="62"/>
      <c r="M38" s="53"/>
      <c r="N38" s="133" t="s">
        <v>201</v>
      </c>
      <c r="O38" s="99">
        <f>IF(I22&lt;2,((5*D21*D22^4)/(384*O36*O37)*1000),((5*D21*D23^4)/(384*O36*O37)*1000))</f>
        <v>17.015825902206302</v>
      </c>
      <c r="P38" s="73" t="s">
        <v>218</v>
      </c>
      <c r="U38" s="278"/>
      <c r="V38" s="278"/>
      <c r="W38" s="278"/>
      <c r="X38" s="62"/>
    </row>
    <row r="39" spans="2:24" ht="14.25" customHeight="1" x14ac:dyDescent="0.25">
      <c r="B39" s="53"/>
      <c r="K39" s="62"/>
      <c r="M39" s="134"/>
      <c r="N39" s="70"/>
      <c r="O39" s="70"/>
      <c r="P39" s="70"/>
      <c r="Q39" s="70"/>
      <c r="R39" s="70"/>
      <c r="S39" s="70"/>
      <c r="T39" s="70"/>
      <c r="U39" s="70"/>
      <c r="V39" s="70"/>
      <c r="W39" s="70"/>
      <c r="X39" s="135"/>
    </row>
    <row r="40" spans="2:24" x14ac:dyDescent="0.25">
      <c r="B40" s="53"/>
      <c r="C40" s="136" t="s">
        <v>174</v>
      </c>
      <c r="D40" s="136"/>
      <c r="E40" s="136"/>
      <c r="F40" s="136"/>
      <c r="G40" s="136"/>
      <c r="H40" s="136"/>
      <c r="K40" s="62"/>
    </row>
    <row r="41" spans="2:24" ht="14.25" customHeight="1" x14ac:dyDescent="0.25">
      <c r="B41" s="53"/>
      <c r="C41" s="628" t="s">
        <v>220</v>
      </c>
      <c r="D41" s="628"/>
      <c r="E41" s="628" t="s">
        <v>221</v>
      </c>
      <c r="F41" s="628"/>
      <c r="G41" s="628" t="s">
        <v>222</v>
      </c>
      <c r="H41" s="628"/>
      <c r="I41" s="641" t="s">
        <v>223</v>
      </c>
      <c r="J41" s="642"/>
      <c r="K41" s="62"/>
    </row>
    <row r="42" spans="2:24" x14ac:dyDescent="0.25">
      <c r="B42" s="53"/>
      <c r="C42" s="97" t="s">
        <v>75</v>
      </c>
      <c r="D42" s="97" t="s">
        <v>76</v>
      </c>
      <c r="E42" s="97" t="s">
        <v>75</v>
      </c>
      <c r="F42" s="97" t="s">
        <v>76</v>
      </c>
      <c r="G42" s="97" t="s">
        <v>75</v>
      </c>
      <c r="H42" s="97" t="s">
        <v>76</v>
      </c>
      <c r="I42" s="97" t="s">
        <v>75</v>
      </c>
      <c r="J42" s="97" t="s">
        <v>75</v>
      </c>
      <c r="K42" s="62"/>
      <c r="N42" s="514">
        <f>D47</f>
        <v>8</v>
      </c>
      <c r="O42" s="515">
        <f>E47</f>
        <v>125</v>
      </c>
    </row>
    <row r="43" spans="2:24" x14ac:dyDescent="0.25">
      <c r="B43" s="53"/>
      <c r="C43" s="137">
        <f>IF(O31&lt;MAX(D27:D27),"",((((PI()*8^2)/4)/D38)*1000))</f>
        <v>188.42226282834042</v>
      </c>
      <c r="D43" s="137">
        <f>IF(I22&lt;=2,((((PI()*8^2)/4)/E38)*1000),"")</f>
        <v>225.1059168240235</v>
      </c>
      <c r="E43" s="137">
        <f>IF(O31&lt;MAX(D27:D27),"",(((PI()*10^2)/4)/D38)*1000)</f>
        <v>294.40978566928192</v>
      </c>
      <c r="F43" s="137">
        <f>IF(I22&lt;=2,((((PI()*10^2)/4)/E38)*1000),"")</f>
        <v>351.72799503753674</v>
      </c>
      <c r="G43" s="137">
        <f>IF(O31&lt;MAX(D27:D27),"",(((PI()*12^2)/4)/D38)*1000)</f>
        <v>423.95009136376592</v>
      </c>
      <c r="H43" s="137">
        <f>IF(I22&lt;=2,((((PI()*12^2)/4)/E38)*1000),"")</f>
        <v>506.48831285405294</v>
      </c>
      <c r="I43" s="137">
        <f>IF(O31&lt;MAX(D27:D27),"",(((PI()*16^2)/4)/D38)*1000)</f>
        <v>753.68905131336169</v>
      </c>
      <c r="J43" s="137">
        <f>IF(I22&lt;=2,((((PI()*16^2)/4)/E38)*1000),"")</f>
        <v>900.42366729609398</v>
      </c>
      <c r="K43" s="62"/>
      <c r="N43" s="51" t="str">
        <f>CONCATENATE(N42,O42)</f>
        <v>8125</v>
      </c>
    </row>
    <row r="44" spans="2:24" x14ac:dyDescent="0.25">
      <c r="B44" s="53"/>
      <c r="C44" s="73" t="s">
        <v>195</v>
      </c>
      <c r="D44" s="138"/>
      <c r="E44" s="138"/>
      <c r="F44" s="138"/>
      <c r="G44" s="138"/>
      <c r="H44" s="138"/>
      <c r="I44" s="138"/>
      <c r="J44" s="138"/>
      <c r="K44" s="139"/>
      <c r="N44" s="51" t="str">
        <f>_xlfn.CONCAT(N42,O42)</f>
        <v>8125</v>
      </c>
    </row>
    <row r="45" spans="2:24" x14ac:dyDescent="0.25">
      <c r="B45" s="53"/>
      <c r="K45" s="62"/>
    </row>
    <row r="46" spans="2:24" ht="16.5" customHeight="1" x14ac:dyDescent="0.25">
      <c r="B46" s="53"/>
      <c r="C46" s="630" t="s">
        <v>198</v>
      </c>
      <c r="D46" s="628" t="s">
        <v>75</v>
      </c>
      <c r="E46" s="628"/>
      <c r="F46" s="628"/>
      <c r="G46" s="628" t="s">
        <v>76</v>
      </c>
      <c r="H46" s="628"/>
      <c r="I46" s="628"/>
      <c r="K46" s="62"/>
    </row>
    <row r="47" spans="2:24" x14ac:dyDescent="0.25">
      <c r="B47" s="53"/>
      <c r="C47" s="631"/>
      <c r="D47" s="241">
        <v>8</v>
      </c>
      <c r="E47" s="629">
        <v>125</v>
      </c>
      <c r="F47" s="629"/>
      <c r="G47" s="241">
        <v>8</v>
      </c>
      <c r="H47" s="629">
        <v>125</v>
      </c>
      <c r="I47" s="629"/>
      <c r="K47" s="62"/>
    </row>
    <row r="48" spans="2:24" x14ac:dyDescent="0.25">
      <c r="B48" s="134"/>
      <c r="C48" s="70"/>
      <c r="D48" s="70"/>
      <c r="E48" s="70"/>
      <c r="F48" s="70"/>
      <c r="G48" s="70"/>
      <c r="H48" s="70"/>
      <c r="I48" s="70"/>
      <c r="J48" s="70"/>
      <c r="K48" s="135"/>
    </row>
    <row r="54" spans="14:16" x14ac:dyDescent="0.25">
      <c r="N54" s="279"/>
      <c r="O54" s="280"/>
    </row>
    <row r="55" spans="14:16" x14ac:dyDescent="0.25">
      <c r="N55" s="279"/>
      <c r="O55" s="280"/>
      <c r="P55" s="73"/>
    </row>
    <row r="56" spans="14:16" x14ac:dyDescent="0.25">
      <c r="N56" s="279"/>
      <c r="O56" s="281"/>
      <c r="P56" s="73"/>
    </row>
  </sheetData>
  <protectedRanges>
    <protectedRange sqref="E5:E7 D5 H22:I22 F8:G8 C22:D23 C21:G21 I23 C27:D28" name="Inputs"/>
  </protectedRanges>
  <mergeCells count="13">
    <mergeCell ref="B2:K2"/>
    <mergeCell ref="N22:S22"/>
    <mergeCell ref="U22:U28"/>
    <mergeCell ref="C37:C38"/>
    <mergeCell ref="C41:D41"/>
    <mergeCell ref="E41:F41"/>
    <mergeCell ref="G41:H41"/>
    <mergeCell ref="I41:J41"/>
    <mergeCell ref="G46:I46"/>
    <mergeCell ref="E47:F47"/>
    <mergeCell ref="H47:I47"/>
    <mergeCell ref="C46:C47"/>
    <mergeCell ref="D46:F46"/>
  </mergeCells>
  <dataValidations count="3">
    <dataValidation type="list" allowBlank="1" showInputMessage="1" showErrorMessage="1" sqref="E7" xr:uid="{00000000-0002-0000-0300-000000000000}">
      <formula1>"250,415,500"</formula1>
    </dataValidation>
    <dataValidation type="list" allowBlank="1" showInputMessage="1" showErrorMessage="1" sqref="E6" xr:uid="{00000000-0002-0000-0300-000001000000}">
      <formula1>"15,20,25,30"</formula1>
    </dataValidation>
    <dataValidation type="list" allowBlank="1" showInputMessage="1" showErrorMessage="1" sqref="D20" xr:uid="{00000000-0002-0000-0300-000002000000}">
      <formula1>"Regular,Sunken"</formula1>
    </dataValidation>
  </dataValidations>
  <pageMargins left="0.7" right="0.7" top="0.75" bottom="0.75" header="0.3" footer="0.3"/>
  <pageSetup scale="95"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B2:J53"/>
  <sheetViews>
    <sheetView view="pageBreakPreview" zoomScaleNormal="100" zoomScaleSheetLayoutView="100" workbookViewId="0">
      <selection activeCell="D9" sqref="D9"/>
    </sheetView>
  </sheetViews>
  <sheetFormatPr defaultRowHeight="12.75" x14ac:dyDescent="0.2"/>
  <cols>
    <col min="1" max="1" width="9.140625" style="7"/>
    <col min="2" max="2" width="5.140625" style="7" customWidth="1"/>
    <col min="3" max="3" width="29.5703125" style="7" customWidth="1"/>
    <col min="4" max="4" width="13.42578125" style="4" customWidth="1"/>
    <col min="5" max="5" width="11.85546875" style="7" customWidth="1"/>
    <col min="6" max="6" width="22.85546875" style="7" bestFit="1" customWidth="1"/>
    <col min="7" max="7" width="13.140625" style="7" bestFit="1" customWidth="1"/>
    <col min="8" max="8" width="6" style="7" customWidth="1"/>
    <col min="9" max="9" width="8.42578125" style="7" hidden="1" customWidth="1"/>
    <col min="10" max="10" width="9.140625" style="7" hidden="1" customWidth="1"/>
    <col min="11" max="16384" width="9.140625" style="7"/>
  </cols>
  <sheetData>
    <row r="2" spans="2:9" ht="15.75" x14ac:dyDescent="0.25">
      <c r="B2" s="10"/>
      <c r="C2" s="10"/>
      <c r="D2" s="5"/>
      <c r="E2" s="10"/>
      <c r="F2" s="10"/>
      <c r="G2" s="10"/>
      <c r="H2" s="10"/>
      <c r="I2" s="35"/>
    </row>
    <row r="3" spans="2:9" ht="15.75" x14ac:dyDescent="0.25">
      <c r="B3" s="618" t="s">
        <v>72</v>
      </c>
      <c r="C3" s="619"/>
      <c r="D3" s="619"/>
      <c r="E3" s="619"/>
      <c r="F3" s="619"/>
      <c r="G3" s="619"/>
      <c r="H3" s="620"/>
      <c r="I3" s="19"/>
    </row>
    <row r="4" spans="2:9" ht="15.75" x14ac:dyDescent="0.25">
      <c r="B4" s="8"/>
      <c r="C4" s="36"/>
      <c r="D4" s="36"/>
      <c r="E4" s="36"/>
      <c r="F4" s="36"/>
      <c r="G4" s="36"/>
      <c r="H4" s="37"/>
      <c r="I4" s="19"/>
    </row>
    <row r="5" spans="2:9" x14ac:dyDescent="0.2">
      <c r="B5" s="14"/>
      <c r="C5" s="31" t="s">
        <v>57</v>
      </c>
      <c r="H5" s="33"/>
    </row>
    <row r="6" spans="2:9" x14ac:dyDescent="0.2">
      <c r="B6" s="14"/>
      <c r="C6" s="12" t="s">
        <v>51</v>
      </c>
      <c r="D6" s="27">
        <f>11.25*12*2.54*10/1000</f>
        <v>3.4289999999999998</v>
      </c>
      <c r="H6" s="33"/>
    </row>
    <row r="7" spans="2:9" x14ac:dyDescent="0.2">
      <c r="B7" s="14"/>
      <c r="C7" s="12" t="s">
        <v>52</v>
      </c>
      <c r="D7" s="17">
        <v>150</v>
      </c>
      <c r="H7" s="33"/>
    </row>
    <row r="8" spans="2:9" x14ac:dyDescent="0.2">
      <c r="B8" s="14"/>
      <c r="C8" s="12" t="s">
        <v>53</v>
      </c>
      <c r="D8" s="17">
        <v>300</v>
      </c>
      <c r="H8" s="33"/>
    </row>
    <row r="9" spans="2:9" x14ac:dyDescent="0.2">
      <c r="B9" s="14"/>
      <c r="C9" s="12" t="s">
        <v>54</v>
      </c>
      <c r="D9" s="17">
        <v>150</v>
      </c>
      <c r="H9" s="33"/>
    </row>
    <row r="10" spans="2:9" x14ac:dyDescent="0.2">
      <c r="B10" s="14"/>
      <c r="C10" s="12" t="s">
        <v>56</v>
      </c>
      <c r="D10" s="17">
        <v>15</v>
      </c>
      <c r="H10" s="33"/>
    </row>
    <row r="11" spans="2:9" x14ac:dyDescent="0.2">
      <c r="B11" s="14"/>
      <c r="C11" s="12" t="s">
        <v>55</v>
      </c>
      <c r="D11" s="21">
        <f>D9-(D10+F5)</f>
        <v>135</v>
      </c>
      <c r="H11" s="33"/>
    </row>
    <row r="12" spans="2:9" x14ac:dyDescent="0.2">
      <c r="B12" s="14"/>
      <c r="C12" s="12"/>
      <c r="D12" s="21"/>
      <c r="H12" s="33"/>
    </row>
    <row r="13" spans="2:9" x14ac:dyDescent="0.2">
      <c r="B13" s="14"/>
      <c r="C13" s="7" t="s">
        <v>70</v>
      </c>
      <c r="D13" s="18">
        <v>20</v>
      </c>
      <c r="H13" s="33"/>
    </row>
    <row r="14" spans="2:9" x14ac:dyDescent="0.2">
      <c r="B14" s="14"/>
      <c r="C14" s="7" t="s">
        <v>71</v>
      </c>
      <c r="D14" s="18">
        <v>500</v>
      </c>
      <c r="H14" s="33"/>
    </row>
    <row r="15" spans="2:9" x14ac:dyDescent="0.2">
      <c r="B15" s="14"/>
      <c r="H15" s="33"/>
    </row>
    <row r="16" spans="2:9" x14ac:dyDescent="0.2">
      <c r="B16" s="14"/>
      <c r="C16" s="6" t="s">
        <v>58</v>
      </c>
      <c r="H16" s="33"/>
    </row>
    <row r="17" spans="2:10" x14ac:dyDescent="0.2">
      <c r="B17" s="14"/>
      <c r="C17" s="41" t="s">
        <v>59</v>
      </c>
      <c r="D17" s="5"/>
      <c r="F17" s="41" t="s">
        <v>67</v>
      </c>
      <c r="G17" s="5"/>
      <c r="H17" s="33"/>
    </row>
    <row r="18" spans="2:10" x14ac:dyDescent="0.2">
      <c r="B18" s="14"/>
      <c r="C18" s="44" t="s">
        <v>60</v>
      </c>
      <c r="D18" s="24">
        <f>(D9/1000)*((SQRT(((D7/1000)^2)+((D8/1000)^2)))/(D8/1000))*25</f>
        <v>4.1926274578121054</v>
      </c>
      <c r="F18" s="12" t="s">
        <v>64</v>
      </c>
      <c r="G18" s="22">
        <f>(D9/1000)*25</f>
        <v>3.75</v>
      </c>
      <c r="H18" s="33"/>
    </row>
    <row r="19" spans="2:10" x14ac:dyDescent="0.2">
      <c r="B19" s="14"/>
      <c r="C19" s="44" t="s">
        <v>61</v>
      </c>
      <c r="D19" s="24">
        <f>((D7/1000)/2)*25</f>
        <v>1.875</v>
      </c>
      <c r="F19" s="46" t="s">
        <v>62</v>
      </c>
      <c r="G19" s="28">
        <v>3</v>
      </c>
      <c r="H19" s="33"/>
    </row>
    <row r="20" spans="2:10" x14ac:dyDescent="0.2">
      <c r="B20" s="14"/>
      <c r="C20" s="46" t="s">
        <v>62</v>
      </c>
      <c r="D20" s="45">
        <v>3</v>
      </c>
      <c r="F20" s="47" t="s">
        <v>63</v>
      </c>
      <c r="G20" s="28">
        <v>1.5</v>
      </c>
      <c r="H20" s="33"/>
    </row>
    <row r="21" spans="2:10" x14ac:dyDescent="0.2">
      <c r="B21" s="14"/>
      <c r="C21" s="47" t="s">
        <v>63</v>
      </c>
      <c r="D21" s="28">
        <v>1.5</v>
      </c>
      <c r="F21" s="23" t="s">
        <v>65</v>
      </c>
      <c r="G21" s="24">
        <f>SUM(G17:G20)</f>
        <v>8.25</v>
      </c>
      <c r="H21" s="33"/>
    </row>
    <row r="22" spans="2:10" x14ac:dyDescent="0.2">
      <c r="B22" s="14"/>
      <c r="C22" s="23" t="s">
        <v>65</v>
      </c>
      <c r="D22" s="24">
        <f>SUM(D18:D21)</f>
        <v>10.567627457812105</v>
      </c>
      <c r="F22" s="25" t="s">
        <v>66</v>
      </c>
      <c r="G22" s="26">
        <f>1.5*G21</f>
        <v>12.375</v>
      </c>
      <c r="H22" s="33"/>
    </row>
    <row r="23" spans="2:10" x14ac:dyDescent="0.2">
      <c r="B23" s="14"/>
      <c r="C23" s="25" t="s">
        <v>66</v>
      </c>
      <c r="D23" s="26">
        <f>1.5*D22</f>
        <v>15.851441186718157</v>
      </c>
      <c r="H23" s="33"/>
    </row>
    <row r="24" spans="2:10" x14ac:dyDescent="0.2">
      <c r="B24" s="9"/>
      <c r="C24" s="251"/>
      <c r="D24" s="252"/>
      <c r="E24" s="10"/>
      <c r="F24" s="10"/>
      <c r="G24" s="10"/>
      <c r="H24" s="34"/>
    </row>
    <row r="25" spans="2:10" x14ac:dyDescent="0.2">
      <c r="B25" s="14"/>
      <c r="C25" s="25"/>
      <c r="D25" s="26"/>
      <c r="H25" s="33"/>
    </row>
    <row r="26" spans="2:10" x14ac:dyDescent="0.2">
      <c r="B26" s="14"/>
      <c r="C26" s="31" t="s">
        <v>73</v>
      </c>
      <c r="H26" s="33"/>
    </row>
    <row r="27" spans="2:10" x14ac:dyDescent="0.2">
      <c r="B27" s="14"/>
      <c r="H27" s="33"/>
    </row>
    <row r="28" spans="2:10" x14ac:dyDescent="0.2">
      <c r="B28" s="14"/>
      <c r="H28" s="33"/>
      <c r="J28" s="7" t="b">
        <v>1</v>
      </c>
    </row>
    <row r="29" spans="2:10" ht="12.75" customHeight="1" x14ac:dyDescent="0.2">
      <c r="B29" s="14"/>
      <c r="C29" s="39">
        <f>IF(J28=TRUE,(D23*D6*D6)/8,"")</f>
        <v>23.297736922815091</v>
      </c>
      <c r="H29" s="33"/>
    </row>
    <row r="30" spans="2:10" ht="12.75" customHeight="1" x14ac:dyDescent="0.2">
      <c r="B30" s="14"/>
      <c r="H30" s="33"/>
    </row>
    <row r="31" spans="2:10" ht="12.75" customHeight="1" x14ac:dyDescent="0.2">
      <c r="B31" s="14"/>
      <c r="C31" s="31" t="s">
        <v>202</v>
      </c>
      <c r="H31" s="33"/>
    </row>
    <row r="32" spans="2:10" x14ac:dyDescent="0.2">
      <c r="B32" s="14"/>
      <c r="C32" s="48">
        <f>D23*D6/2</f>
        <v>27.177295914628278</v>
      </c>
      <c r="H32" s="33"/>
      <c r="J32" s="7">
        <f>IF(J28=TRUE,1,0)</f>
        <v>1</v>
      </c>
    </row>
    <row r="33" spans="2:8" x14ac:dyDescent="0.2">
      <c r="B33" s="14"/>
      <c r="C33" s="643" t="str">
        <f>IF(J28=TRUE,"","Enter the Value of Bending Moment calculated by analysis =")</f>
        <v/>
      </c>
      <c r="D33" s="643"/>
      <c r="E33" s="643"/>
      <c r="F33" s="40">
        <v>60</v>
      </c>
      <c r="G33" s="20"/>
      <c r="H33" s="33"/>
    </row>
    <row r="34" spans="2:8" x14ac:dyDescent="0.2">
      <c r="B34" s="14"/>
      <c r="H34" s="33"/>
    </row>
    <row r="35" spans="2:8" x14ac:dyDescent="0.2">
      <c r="B35" s="14"/>
      <c r="C35" s="6" t="s">
        <v>68</v>
      </c>
      <c r="D35" s="13"/>
      <c r="E35" s="3"/>
      <c r="F35" s="32"/>
      <c r="G35" s="32"/>
      <c r="H35" s="38"/>
    </row>
    <row r="36" spans="2:8" x14ac:dyDescent="0.2">
      <c r="B36" s="14"/>
      <c r="C36" s="11" t="s">
        <v>1</v>
      </c>
      <c r="D36" s="29">
        <f>IF(J28=TRUE,((0.5*D13*1000*D11*(1-SQRT(1-((C29*4.6*1000000)/(D13*1000*D11^2)))))/D14),((0.5*D13*1000*D11*(1-SQRT(1-((F33*4.6*1000000)/(D13*1000*D11^2)))))/D14))</f>
        <v>431.38628164665033</v>
      </c>
      <c r="E36" s="3"/>
      <c r="F36" s="4"/>
      <c r="G36" s="4"/>
      <c r="H36" s="33"/>
    </row>
    <row r="37" spans="2:8" x14ac:dyDescent="0.2">
      <c r="B37" s="14"/>
      <c r="C37" s="4"/>
      <c r="D37" s="13"/>
      <c r="E37" s="3"/>
      <c r="F37" s="4"/>
      <c r="G37" s="4"/>
      <c r="H37" s="33"/>
    </row>
    <row r="38" spans="2:8" x14ac:dyDescent="0.2">
      <c r="B38" s="14"/>
      <c r="C38" s="6" t="s">
        <v>12</v>
      </c>
      <c r="D38" s="13"/>
      <c r="E38" s="3"/>
      <c r="F38" s="4"/>
      <c r="G38" s="4"/>
      <c r="H38" s="33"/>
    </row>
    <row r="39" spans="2:8" ht="15" x14ac:dyDescent="0.2">
      <c r="B39" s="14"/>
      <c r="C39" s="42" t="s">
        <v>40</v>
      </c>
      <c r="D39" s="16" t="s">
        <v>46</v>
      </c>
      <c r="E39" s="16" t="s">
        <v>45</v>
      </c>
      <c r="H39" s="33"/>
    </row>
    <row r="40" spans="2:8" x14ac:dyDescent="0.2">
      <c r="B40" s="14"/>
      <c r="C40" s="43" t="s">
        <v>41</v>
      </c>
      <c r="D40" s="15">
        <f>((((PI()*12^2)/4)/D36)*1000)</f>
        <v>262.17184073987522</v>
      </c>
      <c r="E40" s="15">
        <f>((((PI()*16^2)/4)/D36)*1000)</f>
        <v>466.08327242644475</v>
      </c>
      <c r="H40" s="33"/>
    </row>
    <row r="41" spans="2:8" x14ac:dyDescent="0.2">
      <c r="B41" s="14"/>
      <c r="C41" s="30"/>
      <c r="D41" s="15"/>
      <c r="E41" s="15"/>
      <c r="H41" s="33"/>
    </row>
    <row r="42" spans="2:8" x14ac:dyDescent="0.2">
      <c r="B42" s="14"/>
      <c r="C42" s="30" t="s">
        <v>102</v>
      </c>
      <c r="D42" s="241">
        <v>12</v>
      </c>
      <c r="E42" s="242">
        <v>150</v>
      </c>
      <c r="H42" s="33"/>
    </row>
    <row r="43" spans="2:8" x14ac:dyDescent="0.2">
      <c r="B43" s="14"/>
      <c r="H43" s="33"/>
    </row>
    <row r="44" spans="2:8" x14ac:dyDescent="0.2">
      <c r="B44" s="14"/>
      <c r="H44" s="33"/>
    </row>
    <row r="45" spans="2:8" x14ac:dyDescent="0.2">
      <c r="B45" s="14"/>
      <c r="C45" s="6" t="s">
        <v>69</v>
      </c>
      <c r="D45" s="13"/>
      <c r="E45" s="3"/>
      <c r="H45" s="33"/>
    </row>
    <row r="46" spans="2:8" x14ac:dyDescent="0.2">
      <c r="B46" s="14"/>
      <c r="C46" s="11" t="s">
        <v>1</v>
      </c>
      <c r="D46" s="29">
        <f>0.0012*1000*D9</f>
        <v>180</v>
      </c>
      <c r="E46" s="3"/>
      <c r="H46" s="33"/>
    </row>
    <row r="47" spans="2:8" x14ac:dyDescent="0.2">
      <c r="B47" s="14"/>
      <c r="C47" s="4"/>
      <c r="D47" s="13"/>
      <c r="E47" s="3"/>
      <c r="H47" s="33"/>
    </row>
    <row r="48" spans="2:8" x14ac:dyDescent="0.2">
      <c r="B48" s="14"/>
      <c r="C48" s="6" t="s">
        <v>12</v>
      </c>
      <c r="D48" s="13"/>
      <c r="E48" s="3"/>
      <c r="H48" s="33"/>
    </row>
    <row r="49" spans="2:8" ht="15" x14ac:dyDescent="0.2">
      <c r="B49" s="14"/>
      <c r="C49" s="42" t="s">
        <v>40</v>
      </c>
      <c r="D49" s="49" t="s">
        <v>44</v>
      </c>
      <c r="E49" s="16" t="s">
        <v>47</v>
      </c>
      <c r="H49" s="33"/>
    </row>
    <row r="50" spans="2:8" x14ac:dyDescent="0.2">
      <c r="B50" s="14"/>
      <c r="C50" s="43" t="s">
        <v>42</v>
      </c>
      <c r="D50" s="15">
        <f>((((PI()*8^2)/4)/D46)*1000)</f>
        <v>279.25268031909275</v>
      </c>
      <c r="E50" s="15">
        <f>((((PI()*10^2)/4)/D46)*1000)</f>
        <v>436.33231299858238</v>
      </c>
      <c r="H50" s="33"/>
    </row>
    <row r="51" spans="2:8" x14ac:dyDescent="0.2">
      <c r="B51" s="14"/>
      <c r="C51" s="30"/>
      <c r="D51" s="15"/>
      <c r="E51" s="15"/>
      <c r="H51" s="33"/>
    </row>
    <row r="52" spans="2:8" x14ac:dyDescent="0.2">
      <c r="B52" s="14"/>
      <c r="C52" s="30" t="s">
        <v>103</v>
      </c>
      <c r="D52" s="241">
        <v>8</v>
      </c>
      <c r="E52" s="242">
        <v>150</v>
      </c>
      <c r="H52" s="33"/>
    </row>
    <row r="53" spans="2:8" x14ac:dyDescent="0.2">
      <c r="B53" s="9"/>
      <c r="C53" s="10"/>
      <c r="D53" s="5"/>
      <c r="E53" s="10"/>
      <c r="F53" s="10"/>
      <c r="G53" s="10"/>
      <c r="H53" s="34"/>
    </row>
  </sheetData>
  <protectedRanges>
    <protectedRange sqref="C6:D10 D11:D12" name="Inputs"/>
    <protectedRange sqref="G18:G20 D18:D22" name="Inputs_1"/>
    <protectedRange sqref="D13" name="Inputs_1_1"/>
  </protectedRanges>
  <customSheetViews>
    <customSheetView guid="{F4A77AC2-BDEF-4892-9A52-8132BA2AE24F}" showPageBreaks="1" printArea="1" hiddenColumns="1" view="pageBreakPreview">
      <selection activeCell="F48" sqref="F48"/>
      <pageMargins left="0.44" right="0" top="1" bottom="1" header="0.08" footer="0"/>
      <pageSetup paperSize="9" orientation="portrait" horizontalDpi="4294967293" r:id="rId1"/>
      <headerFooter alignWithMargins="0"/>
    </customSheetView>
  </customSheetViews>
  <mergeCells count="2">
    <mergeCell ref="C33:E33"/>
    <mergeCell ref="B3:H3"/>
  </mergeCells>
  <phoneticPr fontId="3" type="noConversion"/>
  <conditionalFormatting sqref="F33">
    <cfRule type="expression" dxfId="0" priority="1" stopIfTrue="1">
      <formula>$J$32=1</formula>
    </cfRule>
  </conditionalFormatting>
  <dataValidations count="2">
    <dataValidation type="list" allowBlank="1" showInputMessage="1" showErrorMessage="1" sqref="D13" xr:uid="{00000000-0002-0000-0400-000000000000}">
      <formula1>"15,20,25,30"</formula1>
    </dataValidation>
    <dataValidation type="list" allowBlank="1" showInputMessage="1" showErrorMessage="1" sqref="D14" xr:uid="{00000000-0002-0000-0400-000001000000}">
      <formula1>"250,415,500"</formula1>
    </dataValidation>
  </dataValidations>
  <pageMargins left="0.44" right="0" top="1" bottom="1" header="0.08" footer="0"/>
  <pageSetup paperSize="9" scale="99" orientation="portrait" horizontalDpi="4294967293" r:id="rId2"/>
  <headerFooter alignWithMargins="0"/>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tabColor theme="6" tint="0.79998168889431442"/>
  </sheetPr>
  <dimension ref="A2:J31"/>
  <sheetViews>
    <sheetView view="pageBreakPreview" zoomScaleNormal="100" zoomScaleSheetLayoutView="100" workbookViewId="0">
      <selection activeCell="E17" sqref="E17"/>
    </sheetView>
  </sheetViews>
  <sheetFormatPr defaultRowHeight="12.75" x14ac:dyDescent="0.2"/>
  <cols>
    <col min="1" max="1" width="32.7109375" style="253" bestFit="1" customWidth="1"/>
    <col min="2" max="2" width="5.85546875" style="253" customWidth="1"/>
    <col min="3" max="3" width="9.28515625" style="259" customWidth="1"/>
    <col min="4" max="4" width="3.85546875" style="253" customWidth="1"/>
    <col min="5" max="5" width="11" style="253" customWidth="1"/>
    <col min="6" max="6" width="9.140625" style="253"/>
    <col min="7" max="7" width="8.85546875" style="253" customWidth="1"/>
    <col min="8" max="8" width="0.140625" style="253" hidden="1" customWidth="1"/>
    <col min="9" max="9" width="11.5703125" style="253" hidden="1" customWidth="1"/>
    <col min="10" max="10" width="28.85546875" style="253" hidden="1" customWidth="1"/>
    <col min="11" max="16384" width="9.140625" style="253"/>
  </cols>
  <sheetData>
    <row r="2" spans="1:7" x14ac:dyDescent="0.2">
      <c r="A2" s="646" t="s">
        <v>225</v>
      </c>
      <c r="B2" s="646"/>
      <c r="C2" s="646"/>
      <c r="D2" s="646"/>
      <c r="E2" s="646"/>
      <c r="F2" s="646"/>
      <c r="G2" s="646"/>
    </row>
    <row r="4" spans="1:7" x14ac:dyDescent="0.2">
      <c r="A4" s="253" t="s">
        <v>81</v>
      </c>
      <c r="C4" s="254" t="s">
        <v>179</v>
      </c>
      <c r="D4" s="255" t="s">
        <v>85</v>
      </c>
    </row>
    <row r="5" spans="1:7" x14ac:dyDescent="0.2">
      <c r="A5" s="253" t="s">
        <v>80</v>
      </c>
      <c r="B5" s="253" t="s">
        <v>82</v>
      </c>
      <c r="C5" s="256">
        <f>IF(C4="II",0.1,IF(C4="III",0.16,IF(C4="IV",0.24,0.36)))</f>
        <v>0.1</v>
      </c>
    </row>
    <row r="7" spans="1:7" x14ac:dyDescent="0.2">
      <c r="A7" s="253" t="s">
        <v>83</v>
      </c>
      <c r="B7" s="253" t="s">
        <v>84</v>
      </c>
      <c r="C7" s="254">
        <v>1</v>
      </c>
      <c r="D7" s="255" t="s">
        <v>87</v>
      </c>
    </row>
    <row r="9" spans="1:7" x14ac:dyDescent="0.2">
      <c r="A9" s="253" t="s">
        <v>88</v>
      </c>
      <c r="B9" s="253" t="s">
        <v>89</v>
      </c>
      <c r="C9" s="254">
        <v>3</v>
      </c>
      <c r="D9" s="255" t="s">
        <v>86</v>
      </c>
    </row>
    <row r="11" spans="1:7" x14ac:dyDescent="0.2">
      <c r="A11" s="253" t="s">
        <v>91</v>
      </c>
      <c r="B11" s="253" t="s">
        <v>21</v>
      </c>
      <c r="C11" s="254">
        <v>65.599999999999994</v>
      </c>
      <c r="D11" s="253" t="s">
        <v>101</v>
      </c>
    </row>
    <row r="12" spans="1:7" x14ac:dyDescent="0.2">
      <c r="A12" s="253" t="s">
        <v>92</v>
      </c>
      <c r="B12" s="253" t="s">
        <v>93</v>
      </c>
      <c r="C12" s="254">
        <v>50.4</v>
      </c>
      <c r="D12" s="253" t="s">
        <v>101</v>
      </c>
    </row>
    <row r="13" spans="1:7" x14ac:dyDescent="0.2">
      <c r="C13" s="254"/>
    </row>
    <row r="14" spans="1:7" x14ac:dyDescent="0.2">
      <c r="B14" s="645" t="s">
        <v>104</v>
      </c>
      <c r="C14" s="645"/>
      <c r="D14" s="645"/>
      <c r="E14" s="645"/>
    </row>
    <row r="15" spans="1:7" ht="14.25" x14ac:dyDescent="0.25">
      <c r="A15" s="253" t="s">
        <v>90</v>
      </c>
      <c r="B15" s="253" t="s">
        <v>226</v>
      </c>
      <c r="C15" s="257">
        <f>(0.09*C12)/(SQRT(C11))</f>
        <v>0.56004268130031731</v>
      </c>
      <c r="E15" s="258"/>
    </row>
    <row r="16" spans="1:7" x14ac:dyDescent="0.2">
      <c r="C16" s="258"/>
    </row>
    <row r="17" spans="1:10" x14ac:dyDescent="0.2">
      <c r="A17" s="253" t="s">
        <v>95</v>
      </c>
      <c r="B17" s="644" t="s">
        <v>96</v>
      </c>
      <c r="C17" s="644"/>
      <c r="D17" s="644"/>
    </row>
    <row r="19" spans="1:10" ht="14.25" x14ac:dyDescent="0.25">
      <c r="A19" s="253" t="s">
        <v>94</v>
      </c>
      <c r="B19" s="253" t="s">
        <v>227</v>
      </c>
      <c r="C19" s="257">
        <f>H31</f>
        <v>2.4283863452019894</v>
      </c>
      <c r="H19" s="253" t="b">
        <f>IF(B17="Rocky or Hard Soil",IF(AND(C15&gt;0,C15&lt;0.1),(1+(15*C15))))</f>
        <v>0</v>
      </c>
      <c r="I19" s="253" t="b">
        <f>IF(B17="Medium Soil",IF(AND(C15&gt;0,C15&lt;0.1),(1+(15*C15))))</f>
        <v>0</v>
      </c>
      <c r="J19" s="253" t="b">
        <f>IF(B17="Soft Soil",IF(AND(C15&gt;0,C15&lt;0.1),(1+(15*C15))))</f>
        <v>0</v>
      </c>
    </row>
    <row r="20" spans="1:10" x14ac:dyDescent="0.2">
      <c r="H20" s="253" t="b">
        <f>IF(B17="Rocky or Hard Soil",IF(AND(C15&gt;=0.1,C15&lt;=0.4),2.5))</f>
        <v>0</v>
      </c>
      <c r="I20" s="253" t="b">
        <f>IF(B17="Medium Soil",IF(AND(C15&gt;=0.1,C15&lt;=0.55),2.5))</f>
        <v>0</v>
      </c>
      <c r="J20" s="253" t="b">
        <f>IF(B17="Soft Soil",IF(AND(C15&gt;=0.1,C15&lt;=0.67),2.5))</f>
        <v>0</v>
      </c>
    </row>
    <row r="21" spans="1:10" ht="14.25" x14ac:dyDescent="0.25">
      <c r="A21" s="253" t="s">
        <v>97</v>
      </c>
      <c r="B21" s="253" t="s">
        <v>228</v>
      </c>
      <c r="C21" s="256">
        <f>(C5*C7*C19)/(2*C9)</f>
        <v>4.047310575336649E-2</v>
      </c>
      <c r="H21" s="253" t="b">
        <f>IF(B17="Rocky or Hard Soil",IF(AND(C15&gt;=0.4,C15&lt;=4),(1/C15)))</f>
        <v>0</v>
      </c>
      <c r="I21" s="253">
        <f>IF(B17="Medium Soil",IF(AND(C15&gt;=0.55,C15&lt;=4),(1.36/C15)))</f>
        <v>2.4283863452019894</v>
      </c>
      <c r="J21" s="253" t="b">
        <f>IF(B17="Soft Soil",IF(AND(C15&gt;=0.67,C15&lt;=4),(1.67/C15)))</f>
        <v>0</v>
      </c>
    </row>
    <row r="22" spans="1:10" x14ac:dyDescent="0.2">
      <c r="C22" s="256"/>
    </row>
    <row r="23" spans="1:10" x14ac:dyDescent="0.2">
      <c r="A23" s="253" t="s">
        <v>99</v>
      </c>
      <c r="B23" s="253" t="s">
        <v>100</v>
      </c>
      <c r="C23" s="254">
        <v>680034</v>
      </c>
      <c r="D23" s="253" t="s">
        <v>11</v>
      </c>
      <c r="H23" s="253" t="b">
        <f>ISNUMBER(H19)</f>
        <v>0</v>
      </c>
      <c r="I23" s="253" t="b">
        <f>ISNUMBER(I19)</f>
        <v>0</v>
      </c>
      <c r="J23" s="253" t="b">
        <f>ISNUMBER(J19)</f>
        <v>0</v>
      </c>
    </row>
    <row r="24" spans="1:10" x14ac:dyDescent="0.2">
      <c r="H24" s="253" t="b">
        <f t="shared" ref="H24:J25" si="0">ISNUMBER(H20)</f>
        <v>0</v>
      </c>
      <c r="I24" s="253" t="b">
        <f t="shared" si="0"/>
        <v>0</v>
      </c>
      <c r="J24" s="253" t="b">
        <f t="shared" si="0"/>
        <v>0</v>
      </c>
    </row>
    <row r="25" spans="1:10" ht="14.25" x14ac:dyDescent="0.25">
      <c r="A25" s="253" t="s">
        <v>98</v>
      </c>
      <c r="B25" s="253" t="s">
        <v>229</v>
      </c>
      <c r="C25" s="256">
        <f>C21*C23</f>
        <v>27523.087997884828</v>
      </c>
      <c r="D25" s="253" t="s">
        <v>11</v>
      </c>
      <c r="H25" s="253" t="b">
        <f t="shared" si="0"/>
        <v>0</v>
      </c>
      <c r="I25" s="253" t="b">
        <f t="shared" si="0"/>
        <v>1</v>
      </c>
      <c r="J25" s="253" t="b">
        <f t="shared" si="0"/>
        <v>0</v>
      </c>
    </row>
    <row r="27" spans="1:10" x14ac:dyDescent="0.2">
      <c r="H27" s="253" t="b">
        <f>IF(H23=TRUE,H19,IF(H24=TRUE,H20,IF(H25=TRUE,H21)))</f>
        <v>0</v>
      </c>
      <c r="I27" s="253">
        <f>IF(I23=TRUE,I19,IF(I24=TRUE,I20,IF(I25=TRUE,I21)))</f>
        <v>2.4283863452019894</v>
      </c>
      <c r="J27" s="253" t="b">
        <f>IF(J23=TRUE,J19,IF(J24=TRUE,J20,IF(J25=TRUE,J21)))</f>
        <v>0</v>
      </c>
    </row>
    <row r="29" spans="1:10" x14ac:dyDescent="0.2">
      <c r="H29" s="253" t="b">
        <f>ISNUMBER(H27)</f>
        <v>0</v>
      </c>
      <c r="I29" s="253" t="b">
        <f>ISNUMBER(I27)</f>
        <v>1</v>
      </c>
      <c r="J29" s="253" t="b">
        <f>ISNUMBER(J27)</f>
        <v>0</v>
      </c>
    </row>
    <row r="31" spans="1:10" x14ac:dyDescent="0.2">
      <c r="H31" s="253">
        <f>IF(H29=TRUE,H27,IF(I29=TRUE,I27,IF(J29=TRUE,J27)))</f>
        <v>2.4283863452019894</v>
      </c>
    </row>
  </sheetData>
  <customSheetViews>
    <customSheetView guid="{F4A77AC2-BDEF-4892-9A52-8132BA2AE24F}" hiddenColumns="1">
      <selection activeCell="D19" sqref="D19"/>
      <pageMargins left="0.75" right="0.75" top="1" bottom="1" header="0.5" footer="0.5"/>
      <pageSetup paperSize="9" orientation="portrait" horizontalDpi="4294967293" verticalDpi="0" r:id="rId1"/>
      <headerFooter alignWithMargins="0"/>
    </customSheetView>
  </customSheetViews>
  <mergeCells count="4">
    <mergeCell ref="B17:D17"/>
    <mergeCell ref="B14:C14"/>
    <mergeCell ref="D14:E14"/>
    <mergeCell ref="A2:G2"/>
  </mergeCells>
  <phoneticPr fontId="3" type="noConversion"/>
  <dataValidations disablePrompts="1" count="4">
    <dataValidation type="list" allowBlank="1" showInputMessage="1" showErrorMessage="1" sqref="C4" xr:uid="{00000000-0002-0000-0500-000000000000}">
      <formula1>"II,III,IV,V"</formula1>
    </dataValidation>
    <dataValidation type="list" allowBlank="1" showInputMessage="1" showErrorMessage="1" sqref="C7" xr:uid="{00000000-0002-0000-0500-000001000000}">
      <formula1>"1,1.5"</formula1>
    </dataValidation>
    <dataValidation type="list" allowBlank="1" showInputMessage="1" showErrorMessage="1" sqref="C9" xr:uid="{00000000-0002-0000-0500-000002000000}">
      <formula1>"1.5,2.5,3,4,4.5,5"</formula1>
    </dataValidation>
    <dataValidation type="list" allowBlank="1" showInputMessage="1" showErrorMessage="1" sqref="B17" xr:uid="{00000000-0002-0000-0500-000003000000}">
      <formula1>"Rocky or Hard Soil,Medium Soil,Soft Soil"</formula1>
    </dataValidation>
  </dataValidations>
  <pageMargins left="0.75" right="0.75" top="1" bottom="1" header="0.5" footer="0.5"/>
  <pageSetup paperSize="9" orientation="portrait" horizontalDpi="4294967293" r:id="rId2"/>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S144"/>
  <sheetViews>
    <sheetView showGridLines="0" view="pageBreakPreview" zoomScale="115" zoomScaleNormal="85" zoomScaleSheetLayoutView="115" workbookViewId="0">
      <selection activeCell="H59" sqref="H59"/>
    </sheetView>
  </sheetViews>
  <sheetFormatPr defaultRowHeight="12.75" x14ac:dyDescent="0.2"/>
  <cols>
    <col min="1" max="1" width="5.7109375" style="140" customWidth="1"/>
    <col min="2" max="2" width="11.42578125" style="140" customWidth="1"/>
    <col min="3" max="3" width="21.7109375" style="143" customWidth="1"/>
    <col min="4" max="4" width="11.85546875" style="140" customWidth="1"/>
    <col min="5" max="5" width="14.28515625" style="140" customWidth="1"/>
    <col min="6" max="6" width="10.7109375" style="143" customWidth="1"/>
    <col min="7" max="7" width="10.28515625" style="140" customWidth="1"/>
    <col min="8" max="8" width="13.42578125" style="140" customWidth="1"/>
    <col min="9" max="9" width="9.140625" style="140"/>
    <col min="10" max="10" width="10.28515625" style="140" customWidth="1"/>
    <col min="11" max="11" width="11.5703125" style="140" customWidth="1"/>
    <col min="12" max="12" width="11" style="140" customWidth="1"/>
    <col min="13" max="13" width="12.85546875" style="140" customWidth="1"/>
    <col min="14" max="14" width="8.140625" style="140" customWidth="1"/>
    <col min="15" max="15" width="11.28515625" style="140" customWidth="1"/>
    <col min="16" max="16" width="11.140625" style="140" customWidth="1"/>
    <col min="17" max="17" width="12.42578125" style="140" customWidth="1"/>
    <col min="18" max="18" width="12.5703125" style="140" customWidth="1"/>
    <col min="19" max="19" width="10.7109375" style="140" customWidth="1"/>
    <col min="20" max="20" width="12.42578125" style="140" customWidth="1"/>
    <col min="21" max="16384" width="9.140625" style="140"/>
  </cols>
  <sheetData>
    <row r="1" spans="1:10" s="110" customFormat="1" ht="13.5" customHeight="1" x14ac:dyDescent="0.25">
      <c r="A1" s="140"/>
      <c r="B1" s="141"/>
      <c r="C1" s="142"/>
      <c r="D1" s="143"/>
      <c r="E1" s="140"/>
      <c r="F1" s="143"/>
      <c r="G1" s="140"/>
      <c r="H1" s="140"/>
    </row>
    <row r="2" spans="1:10" s="110" customFormat="1" ht="13.5" customHeight="1" x14ac:dyDescent="0.25">
      <c r="A2" s="140"/>
      <c r="B2" s="247"/>
      <c r="C2" s="248"/>
      <c r="D2" s="167"/>
      <c r="E2" s="168"/>
      <c r="F2" s="167"/>
      <c r="G2" s="168"/>
      <c r="H2" s="168"/>
    </row>
    <row r="3" spans="1:10" s="110" customFormat="1" ht="15.75" x14ac:dyDescent="0.25">
      <c r="B3" s="647" t="s">
        <v>224</v>
      </c>
      <c r="C3" s="647"/>
      <c r="D3" s="647"/>
      <c r="E3" s="647"/>
      <c r="F3" s="647"/>
      <c r="G3" s="647"/>
      <c r="H3" s="647"/>
    </row>
    <row r="4" spans="1:10" ht="13.5" x14ac:dyDescent="0.25">
      <c r="B4" s="239"/>
      <c r="C4" s="144"/>
      <c r="D4" s="143"/>
      <c r="H4" s="149"/>
    </row>
    <row r="5" spans="1:10" x14ac:dyDescent="0.2">
      <c r="B5" s="150"/>
      <c r="H5" s="145"/>
    </row>
    <row r="6" spans="1:10" x14ac:dyDescent="0.2">
      <c r="B6" s="150">
        <v>1</v>
      </c>
      <c r="C6" s="151" t="s">
        <v>143</v>
      </c>
      <c r="H6" s="145"/>
    </row>
    <row r="7" spans="1:10" x14ac:dyDescent="0.2">
      <c r="B7" s="150"/>
      <c r="C7" s="151"/>
      <c r="H7" s="145"/>
    </row>
    <row r="8" spans="1:10" x14ac:dyDescent="0.2">
      <c r="B8" s="150"/>
      <c r="C8" s="143" t="s">
        <v>19</v>
      </c>
      <c r="D8" s="140" t="s">
        <v>20</v>
      </c>
      <c r="E8" s="152">
        <v>374</v>
      </c>
      <c r="H8" s="145"/>
    </row>
    <row r="9" spans="1:10" x14ac:dyDescent="0.2">
      <c r="B9" s="150"/>
      <c r="C9" s="143" t="s">
        <v>79</v>
      </c>
      <c r="D9" s="140" t="s">
        <v>134</v>
      </c>
      <c r="E9" s="153">
        <f>(E8*1.1)/1.5</f>
        <v>274.26666666666671</v>
      </c>
      <c r="H9" s="145"/>
    </row>
    <row r="10" spans="1:10" x14ac:dyDescent="0.2">
      <c r="B10" s="150"/>
      <c r="E10" s="154"/>
      <c r="H10" s="145"/>
    </row>
    <row r="11" spans="1:10" x14ac:dyDescent="0.2">
      <c r="B11" s="150"/>
      <c r="C11" s="143" t="s">
        <v>119</v>
      </c>
      <c r="D11" s="140" t="s">
        <v>105</v>
      </c>
      <c r="E11" s="155">
        <v>7.57</v>
      </c>
      <c r="H11" s="145"/>
    </row>
    <row r="12" spans="1:10" x14ac:dyDescent="0.2">
      <c r="B12" s="150"/>
      <c r="C12" s="143" t="s">
        <v>120</v>
      </c>
      <c r="D12" s="140" t="s">
        <v>106</v>
      </c>
      <c r="E12" s="155">
        <v>1.73</v>
      </c>
      <c r="H12" s="145"/>
    </row>
    <row r="13" spans="1:10" x14ac:dyDescent="0.2">
      <c r="B13" s="150"/>
      <c r="E13" s="154"/>
      <c r="H13" s="145"/>
      <c r="J13" s="110"/>
    </row>
    <row r="14" spans="1:10" x14ac:dyDescent="0.2">
      <c r="B14" s="150"/>
      <c r="C14" s="143" t="s">
        <v>121</v>
      </c>
      <c r="D14" s="140" t="s">
        <v>35</v>
      </c>
      <c r="E14" s="156">
        <f>14*2.54*10</f>
        <v>355.6</v>
      </c>
      <c r="H14" s="145"/>
      <c r="J14" s="110"/>
    </row>
    <row r="15" spans="1:10" x14ac:dyDescent="0.2">
      <c r="B15" s="150"/>
      <c r="D15" s="140" t="s">
        <v>36</v>
      </c>
      <c r="E15" s="156">
        <f>14*2.54*10</f>
        <v>355.6</v>
      </c>
      <c r="H15" s="145"/>
      <c r="J15" s="157"/>
    </row>
    <row r="16" spans="1:10" x14ac:dyDescent="0.2">
      <c r="B16" s="150"/>
      <c r="E16" s="154"/>
      <c r="H16" s="145"/>
    </row>
    <row r="17" spans="2:8" x14ac:dyDescent="0.2">
      <c r="B17" s="150"/>
      <c r="C17" s="143" t="s">
        <v>122</v>
      </c>
      <c r="D17" s="140" t="s">
        <v>152</v>
      </c>
      <c r="E17" s="158">
        <v>140</v>
      </c>
      <c r="H17" s="145"/>
    </row>
    <row r="18" spans="2:8" x14ac:dyDescent="0.2">
      <c r="B18" s="150"/>
      <c r="H18" s="145"/>
    </row>
    <row r="19" spans="2:8" x14ac:dyDescent="0.2">
      <c r="B19" s="150"/>
      <c r="C19" s="143" t="s">
        <v>151</v>
      </c>
      <c r="D19" s="140" t="s">
        <v>150</v>
      </c>
      <c r="E19" s="159">
        <f>(E8*1.1)/(1.5*E17)</f>
        <v>1.9590476190476191</v>
      </c>
      <c r="H19" s="145"/>
    </row>
    <row r="20" spans="2:8" x14ac:dyDescent="0.2">
      <c r="B20" s="150"/>
      <c r="H20" s="145"/>
    </row>
    <row r="21" spans="2:8" x14ac:dyDescent="0.2">
      <c r="B21" s="150"/>
      <c r="C21" s="650" t="s">
        <v>147</v>
      </c>
      <c r="D21" s="140" t="s">
        <v>123</v>
      </c>
      <c r="E21" s="161">
        <v>1.6</v>
      </c>
      <c r="F21" s="648" t="str">
        <f>IF(E21&lt;E22,"L must be greater than B",IF(E21/E22&lt;2,"","L/B Ratio cannot be greater than 2"))</f>
        <v/>
      </c>
      <c r="G21" s="648"/>
      <c r="H21" s="649"/>
    </row>
    <row r="22" spans="2:8" x14ac:dyDescent="0.2">
      <c r="B22" s="150"/>
      <c r="C22" s="650"/>
      <c r="D22" s="140" t="s">
        <v>124</v>
      </c>
      <c r="E22" s="161">
        <v>1.6</v>
      </c>
      <c r="H22" s="145"/>
    </row>
    <row r="23" spans="2:8" x14ac:dyDescent="0.2">
      <c r="B23" s="150"/>
      <c r="C23" s="143" t="s">
        <v>148</v>
      </c>
      <c r="D23" s="140" t="s">
        <v>149</v>
      </c>
      <c r="E23" s="162">
        <f>E21*E22</f>
        <v>2.5600000000000005</v>
      </c>
      <c r="H23" s="145"/>
    </row>
    <row r="24" spans="2:8" x14ac:dyDescent="0.2">
      <c r="B24" s="150"/>
      <c r="H24" s="145"/>
    </row>
    <row r="25" spans="2:8" x14ac:dyDescent="0.2">
      <c r="B25" s="150"/>
      <c r="D25" s="140" t="s">
        <v>126</v>
      </c>
      <c r="E25" s="163">
        <f>(E22*E22*E21)/6</f>
        <v>0.68266666666666687</v>
      </c>
      <c r="H25" s="145"/>
    </row>
    <row r="26" spans="2:8" x14ac:dyDescent="0.2">
      <c r="B26" s="150"/>
      <c r="D26" s="140" t="s">
        <v>126</v>
      </c>
      <c r="E26" s="163">
        <f>(E21*E21*E22)/6</f>
        <v>0.68266666666666687</v>
      </c>
      <c r="H26" s="145"/>
    </row>
    <row r="27" spans="2:8" x14ac:dyDescent="0.2">
      <c r="B27" s="150"/>
      <c r="H27" s="145"/>
    </row>
    <row r="28" spans="2:8" x14ac:dyDescent="0.2">
      <c r="B28" s="150"/>
      <c r="C28" s="143" t="s">
        <v>125</v>
      </c>
      <c r="D28" s="140" t="s">
        <v>78</v>
      </c>
      <c r="E28" s="164">
        <f>(E9/E23)+(E11/(1.5*E25))+(E12/(1.5*E26))</f>
        <v>116.21744791666666</v>
      </c>
      <c r="H28" s="145"/>
    </row>
    <row r="29" spans="2:8" x14ac:dyDescent="0.2">
      <c r="B29" s="150"/>
      <c r="H29" s="145"/>
    </row>
    <row r="30" spans="2:8" x14ac:dyDescent="0.2">
      <c r="B30" s="150"/>
      <c r="D30" s="648" t="str">
        <f>IF(E28&lt;E17,"Footing Size OK","Change Footing Dimensions")</f>
        <v>Footing Size OK</v>
      </c>
      <c r="E30" s="648"/>
      <c r="F30" s="165"/>
      <c r="H30" s="145"/>
    </row>
    <row r="31" spans="2:8" x14ac:dyDescent="0.2">
      <c r="B31" s="150"/>
      <c r="H31" s="145"/>
    </row>
    <row r="32" spans="2:8" ht="12.75" customHeight="1" x14ac:dyDescent="0.2">
      <c r="B32" s="150"/>
      <c r="H32" s="145"/>
    </row>
    <row r="33" spans="2:18" ht="12.75" customHeight="1" x14ac:dyDescent="0.2">
      <c r="B33" s="146"/>
      <c r="C33" s="147"/>
      <c r="D33" s="148"/>
      <c r="E33" s="148"/>
      <c r="F33" s="147"/>
      <c r="G33" s="148"/>
      <c r="H33" s="149"/>
      <c r="J33" s="146"/>
      <c r="K33" s="148"/>
      <c r="L33" s="148"/>
      <c r="M33" s="149"/>
      <c r="O33" s="146"/>
      <c r="P33" s="148"/>
      <c r="Q33" s="148"/>
      <c r="R33" s="149"/>
    </row>
    <row r="34" spans="2:18" x14ac:dyDescent="0.2">
      <c r="B34" s="150">
        <v>2</v>
      </c>
      <c r="C34" s="151" t="s">
        <v>49</v>
      </c>
      <c r="H34" s="145"/>
      <c r="J34" s="170" t="s">
        <v>5</v>
      </c>
      <c r="K34" s="171">
        <v>1000</v>
      </c>
      <c r="M34" s="145"/>
      <c r="O34" s="170" t="s">
        <v>5</v>
      </c>
      <c r="P34" s="171">
        <v>1000</v>
      </c>
      <c r="R34" s="145"/>
    </row>
    <row r="35" spans="2:18" ht="15.75" x14ac:dyDescent="0.2">
      <c r="B35" s="150"/>
      <c r="D35" s="140" t="s">
        <v>108</v>
      </c>
      <c r="E35" s="172">
        <f>(E21-(E14/1000))/2</f>
        <v>0.62220000000000009</v>
      </c>
      <c r="H35" s="145"/>
      <c r="J35" s="170" t="s">
        <v>215</v>
      </c>
      <c r="K35" s="140" t="s">
        <v>48</v>
      </c>
      <c r="M35" s="145"/>
      <c r="O35" s="170" t="s">
        <v>215</v>
      </c>
      <c r="P35" s="140" t="s">
        <v>48</v>
      </c>
      <c r="R35" s="145"/>
    </row>
    <row r="36" spans="2:18" x14ac:dyDescent="0.2">
      <c r="B36" s="150"/>
      <c r="D36" s="140" t="s">
        <v>107</v>
      </c>
      <c r="E36" s="172">
        <f>(E22-(E15/1000))/2</f>
        <v>0.62220000000000009</v>
      </c>
      <c r="H36" s="145"/>
      <c r="J36" s="173">
        <f>IF(E41=15,(IF(E42=250,2.24,IF(E42=415,2.07,IF(E42=500,2)))),IF(E41=20,(IF(E42=250,2.98,IF(E42=415,2.76,IF(E42=500,2.66)))),IF(E41=25,(IF(E42=250,3.73,IF(E42=415,3.45,IF(E42=500,3.33)))),IF(E41=30,(IF(E42=250,4.47,IF(E42=415,4.14,IF(E42=500,3.99))))))))</f>
        <v>2.66</v>
      </c>
      <c r="K36" s="174">
        <f>(J36*K34*E49^2)/1000000</f>
        <v>311.12423999999999</v>
      </c>
      <c r="M36" s="145"/>
      <c r="O36" s="173">
        <f>IF(E41=15,(IF(E42=250,2.24,IF(E42=415,2.07,IF(E42=500,2)))),IF(E41=20,(IF(E42=250,2.98,IF(E42=415,2.76,IF(E42=500,2.66)))),IF(E41=25,(IF(E42=250,3.73,IF(E42=415,3.45,IF(E42=500,3.33)))),IF(E41=30,(IF(E42=250,4.47,IF(E42=415,4.14,IF(E42=500,3.99))))))))</f>
        <v>2.66</v>
      </c>
      <c r="P36" s="174">
        <f>(O36*P34*E49^2)/1000000</f>
        <v>311.12423999999999</v>
      </c>
      <c r="R36" s="145"/>
    </row>
    <row r="37" spans="2:18" x14ac:dyDescent="0.2">
      <c r="B37" s="150"/>
      <c r="H37" s="145"/>
      <c r="J37" s="150"/>
      <c r="M37" s="145"/>
      <c r="O37" s="150"/>
      <c r="R37" s="145"/>
    </row>
    <row r="38" spans="2:18" x14ac:dyDescent="0.2">
      <c r="B38" s="150"/>
      <c r="C38" s="143" t="s">
        <v>127</v>
      </c>
      <c r="D38" s="140" t="s">
        <v>32</v>
      </c>
      <c r="E38" s="175">
        <f>(1.5*E28*E35^2)/2</f>
        <v>33.743693002148447</v>
      </c>
      <c r="H38" s="145"/>
      <c r="J38" s="150"/>
      <c r="L38" s="176"/>
      <c r="M38" s="177"/>
      <c r="O38" s="150"/>
      <c r="Q38" s="176"/>
      <c r="R38" s="177"/>
    </row>
    <row r="39" spans="2:18" x14ac:dyDescent="0.2">
      <c r="B39" s="150"/>
      <c r="C39" s="143" t="s">
        <v>128</v>
      </c>
      <c r="D39" s="140" t="s">
        <v>77</v>
      </c>
      <c r="E39" s="175">
        <f>(1.5*E28*E36^2)/2</f>
        <v>33.743693002148447</v>
      </c>
      <c r="H39" s="145"/>
      <c r="J39" s="178" t="s">
        <v>17</v>
      </c>
      <c r="K39" s="178" t="s">
        <v>16</v>
      </c>
      <c r="L39" s="178" t="s">
        <v>129</v>
      </c>
      <c r="M39" s="178" t="s">
        <v>18</v>
      </c>
      <c r="O39" s="178" t="s">
        <v>17</v>
      </c>
      <c r="P39" s="178" t="s">
        <v>16</v>
      </c>
      <c r="Q39" s="178" t="s">
        <v>129</v>
      </c>
      <c r="R39" s="178" t="s">
        <v>18</v>
      </c>
    </row>
    <row r="40" spans="2:18" x14ac:dyDescent="0.2">
      <c r="B40" s="150"/>
      <c r="H40" s="145"/>
      <c r="J40" s="179">
        <f>(0.0035)/(0.0055+((0.87*E42)/(200*1000)))</f>
        <v>0.45602605863192186</v>
      </c>
      <c r="K40" s="180">
        <f>J40*E49</f>
        <v>155.96091205211727</v>
      </c>
      <c r="L40" s="172">
        <f>(0.36*J40*(1-(0.42*J40)))</f>
        <v>0.13272586446540546</v>
      </c>
      <c r="M40" s="178">
        <f>IF(E42=250,(IF(E41=15,4.4,IF(E41=20,5.15,IF(E41=25,5.9,IF(E41=30,6.65))))),IF(E42=415,(IF(E41=15,6.4,IF(E41=20,7.1,IF(E41=25,7.8,IF(E41=30,8.5))))),IF(E42=500,(IF(E41=15,6.4,IF(E41=20,7,IF(E41=25,7.7,IF(E41=30,8.3))))))))</f>
        <v>7</v>
      </c>
      <c r="O40" s="179">
        <f>(0.0035)/(0.0055+((0.87*E42)/(200*1000)))</f>
        <v>0.45602605863192186</v>
      </c>
      <c r="P40" s="180">
        <f>O40*E49</f>
        <v>155.96091205211727</v>
      </c>
      <c r="Q40" s="172">
        <f>(0.36*O40*(1-(0.42*O40)))</f>
        <v>0.13272586446540546</v>
      </c>
      <c r="R40" s="178">
        <f>IF(E42=250,(IF(E41=15,4.4,IF(E41=20,5.15,IF(E41=25,5.9,IF(E41=30,6.65))))),IF(E42=415,(IF(E41=15,6.4,IF(E41=20,7.1,IF(E41=25,7.8,IF(E41=30,8.5))))),IF(E42=500,(IF(E41=15,6.4,IF(E41=20,7,IF(E41=25,7.7,IF(E41=30,8.3))))))))</f>
        <v>7</v>
      </c>
    </row>
    <row r="41" spans="2:18" x14ac:dyDescent="0.2">
      <c r="B41" s="150"/>
      <c r="C41" s="143" t="s">
        <v>50</v>
      </c>
      <c r="D41" s="140" t="s">
        <v>23</v>
      </c>
      <c r="E41" s="181">
        <v>20</v>
      </c>
      <c r="H41" s="145"/>
      <c r="J41" s="150"/>
      <c r="M41" s="145"/>
      <c r="O41" s="150"/>
      <c r="R41" s="145"/>
    </row>
    <row r="42" spans="2:18" x14ac:dyDescent="0.2">
      <c r="B42" s="150"/>
      <c r="C42" s="143" t="s">
        <v>30</v>
      </c>
      <c r="D42" s="140" t="s">
        <v>25</v>
      </c>
      <c r="E42" s="181">
        <v>500</v>
      </c>
      <c r="H42" s="145"/>
      <c r="J42" s="150" t="s">
        <v>9</v>
      </c>
      <c r="M42" s="145"/>
      <c r="O42" s="150" t="s">
        <v>9</v>
      </c>
      <c r="R42" s="145"/>
    </row>
    <row r="43" spans="2:18" x14ac:dyDescent="0.2">
      <c r="B43" s="150"/>
      <c r="H43" s="145"/>
      <c r="J43" s="146" t="s">
        <v>2</v>
      </c>
      <c r="K43" s="182">
        <f>(0.87435*E42*E42)/(E41*10000)</f>
        <v>1.0929374999999999</v>
      </c>
      <c r="L43" s="183"/>
      <c r="M43" s="184"/>
      <c r="O43" s="146" t="s">
        <v>2</v>
      </c>
      <c r="P43" s="182">
        <f>(0.87435*E42*E42)/(E41*10000)</f>
        <v>1.0929374999999999</v>
      </c>
      <c r="Q43" s="183"/>
      <c r="R43" s="184"/>
    </row>
    <row r="44" spans="2:18" x14ac:dyDescent="0.2">
      <c r="B44" s="150"/>
      <c r="C44" s="143" t="s">
        <v>130</v>
      </c>
      <c r="D44" s="140" t="s">
        <v>131</v>
      </c>
      <c r="E44" s="185">
        <f>SQRT((MAX(E38:E39)*1000000)/(L40*1000*E41))</f>
        <v>112.74661878159938</v>
      </c>
      <c r="H44" s="145"/>
      <c r="J44" s="150" t="s">
        <v>0</v>
      </c>
      <c r="K44" s="186">
        <f>-(0.87*E42)/100</f>
        <v>-4.3499999999999996</v>
      </c>
      <c r="M44" s="145"/>
      <c r="O44" s="150" t="s">
        <v>0</v>
      </c>
      <c r="P44" s="186">
        <f>-(0.87*E42)/100</f>
        <v>-4.3499999999999996</v>
      </c>
      <c r="R44" s="145"/>
    </row>
    <row r="45" spans="2:18" x14ac:dyDescent="0.2">
      <c r="B45" s="150"/>
      <c r="H45" s="145"/>
      <c r="J45" s="150" t="s">
        <v>3</v>
      </c>
      <c r="K45" s="186">
        <f>(E38*1000000)/(K34*E49*E49)</f>
        <v>0.28849640062026305</v>
      </c>
      <c r="M45" s="145"/>
      <c r="O45" s="150" t="s">
        <v>3</v>
      </c>
      <c r="P45" s="186">
        <f>(E39*1000000)/(P34*E49*E49)</f>
        <v>0.28849640062026305</v>
      </c>
      <c r="R45" s="145"/>
    </row>
    <row r="46" spans="2:18" x14ac:dyDescent="0.2">
      <c r="B46" s="150"/>
      <c r="C46" s="110" t="s">
        <v>132</v>
      </c>
      <c r="D46" s="140" t="s">
        <v>144</v>
      </c>
      <c r="E46" s="187">
        <v>400</v>
      </c>
      <c r="H46" s="145"/>
      <c r="J46" s="188" t="s">
        <v>4</v>
      </c>
      <c r="K46" s="186">
        <f>(-K44-SQRT((K44*K44)-(4*K43*K45)))/(2*K43)</f>
        <v>6.7464567954060459E-2</v>
      </c>
      <c r="M46" s="145"/>
      <c r="O46" s="188" t="s">
        <v>4</v>
      </c>
      <c r="P46" s="186">
        <f>(-P44-SQRT((P44*P44)-(4*P43*P45)))/(2*P43)</f>
        <v>6.7464567954060459E-2</v>
      </c>
      <c r="R46" s="145"/>
    </row>
    <row r="47" spans="2:18" x14ac:dyDescent="0.2">
      <c r="B47" s="150"/>
      <c r="C47" s="189" t="s">
        <v>56</v>
      </c>
      <c r="D47" s="160" t="s">
        <v>3</v>
      </c>
      <c r="E47" s="156">
        <v>50</v>
      </c>
      <c r="H47" s="145"/>
      <c r="J47" s="166" t="s">
        <v>1</v>
      </c>
      <c r="K47" s="190">
        <f>(K46*K34*E49)/100</f>
        <v>230.72882240288675</v>
      </c>
      <c r="M47" s="145"/>
      <c r="O47" s="166" t="s">
        <v>1</v>
      </c>
      <c r="P47" s="190">
        <f>(P46*P34*E49)/100</f>
        <v>230.72882240288675</v>
      </c>
      <c r="R47" s="145"/>
    </row>
    <row r="48" spans="2:18" x14ac:dyDescent="0.2">
      <c r="B48" s="150"/>
      <c r="C48" s="143" t="s">
        <v>145</v>
      </c>
      <c r="D48" s="140" t="s">
        <v>22</v>
      </c>
      <c r="E48" s="191">
        <f>E47+D96+D58/2</f>
        <v>58</v>
      </c>
      <c r="H48" s="145"/>
      <c r="J48" s="150"/>
      <c r="M48" s="145"/>
      <c r="O48" s="150"/>
      <c r="R48" s="145"/>
    </row>
    <row r="49" spans="2:18" x14ac:dyDescent="0.2">
      <c r="B49" s="150"/>
      <c r="C49" s="143" t="s">
        <v>146</v>
      </c>
      <c r="D49" s="140" t="s">
        <v>22</v>
      </c>
      <c r="E49" s="191">
        <f>E46-E48</f>
        <v>342</v>
      </c>
      <c r="H49" s="145"/>
      <c r="J49" s="150"/>
      <c r="M49" s="145"/>
      <c r="O49" s="150"/>
      <c r="R49" s="145"/>
    </row>
    <row r="50" spans="2:18" x14ac:dyDescent="0.2">
      <c r="B50" s="150"/>
      <c r="H50" s="145"/>
      <c r="J50" s="146" t="s">
        <v>15</v>
      </c>
      <c r="K50" s="192">
        <f>(0.85*100)/E42</f>
        <v>0.17</v>
      </c>
      <c r="M50" s="145"/>
      <c r="O50" s="146" t="s">
        <v>15</v>
      </c>
      <c r="P50" s="192">
        <f>(0.85*100)/E42</f>
        <v>0.17</v>
      </c>
      <c r="R50" s="145"/>
    </row>
    <row r="51" spans="2:18" x14ac:dyDescent="0.2">
      <c r="B51" s="150"/>
      <c r="C51" s="651" t="s">
        <v>6</v>
      </c>
      <c r="D51" s="652" t="s">
        <v>153</v>
      </c>
      <c r="E51" s="652"/>
      <c r="F51" s="652"/>
      <c r="G51" s="193"/>
      <c r="H51" s="194"/>
      <c r="J51" s="150" t="s">
        <v>1</v>
      </c>
      <c r="K51" s="195">
        <f>IF(E38&lt;K36,K47,K54)</f>
        <v>230.72882240288675</v>
      </c>
      <c r="M51" s="145"/>
      <c r="O51" s="150" t="s">
        <v>1</v>
      </c>
      <c r="P51" s="195">
        <f>IF(E39&lt;P36,P47,P54)</f>
        <v>230.72882240288675</v>
      </c>
      <c r="R51" s="145"/>
    </row>
    <row r="52" spans="2:18" ht="15.75" x14ac:dyDescent="0.2">
      <c r="B52" s="150"/>
      <c r="C52" s="651"/>
      <c r="D52" s="196" t="s">
        <v>222</v>
      </c>
      <c r="E52" s="196" t="s">
        <v>223</v>
      </c>
      <c r="F52" s="196" t="s">
        <v>118</v>
      </c>
      <c r="H52" s="145"/>
      <c r="J52" s="150"/>
      <c r="K52" s="195"/>
      <c r="M52" s="145"/>
      <c r="O52" s="150"/>
      <c r="P52" s="195"/>
      <c r="R52" s="145"/>
    </row>
    <row r="53" spans="2:18" x14ac:dyDescent="0.2">
      <c r="B53" s="150"/>
      <c r="C53" s="197">
        <f>K57</f>
        <v>410.4</v>
      </c>
      <c r="D53" s="198">
        <f>(((PI()*12^2)/4)/C53)*1000</f>
        <v>275.57830294647312</v>
      </c>
      <c r="E53" s="198">
        <f>(((PI()*16^2)/4)/C53)*1000</f>
        <v>489.91698301595216</v>
      </c>
      <c r="F53" s="198">
        <f>(((PI()*20^2)/4)/C53)*1000</f>
        <v>765.49528596242533</v>
      </c>
      <c r="H53" s="145"/>
      <c r="J53" s="150"/>
      <c r="K53" s="145"/>
      <c r="M53" s="145"/>
      <c r="O53" s="150"/>
      <c r="P53" s="145"/>
      <c r="R53" s="145"/>
    </row>
    <row r="54" spans="2:18" x14ac:dyDescent="0.2">
      <c r="B54" s="150"/>
      <c r="C54" s="197">
        <f>P57</f>
        <v>410.4</v>
      </c>
      <c r="D54" s="198">
        <f>(((PI()*12^2)/4)/C54)*1000</f>
        <v>275.57830294647312</v>
      </c>
      <c r="E54" s="198">
        <f>(((PI()*16^2)/4)/C54)*1000</f>
        <v>489.91698301595216</v>
      </c>
      <c r="F54" s="198">
        <f>(((PI()*20^2)/4)/C54)*1000</f>
        <v>765.49528596242533</v>
      </c>
      <c r="H54" s="145"/>
      <c r="J54" s="150" t="s">
        <v>7</v>
      </c>
      <c r="K54" s="195">
        <f>(0.12*K34*E49)/100</f>
        <v>410.4</v>
      </c>
      <c r="M54" s="145"/>
      <c r="O54" s="150" t="s">
        <v>7</v>
      </c>
      <c r="P54" s="195">
        <f>(0.12*P34*E49)/100</f>
        <v>410.4</v>
      </c>
      <c r="R54" s="145"/>
    </row>
    <row r="55" spans="2:18" x14ac:dyDescent="0.2">
      <c r="B55" s="150"/>
      <c r="C55" s="648" t="str">
        <f>IF(C53=K54,"Minimum Ast required across x direcion","")</f>
        <v>Minimum Ast required across x direcion</v>
      </c>
      <c r="D55" s="648"/>
      <c r="E55" s="199"/>
      <c r="F55" s="199"/>
      <c r="G55" s="199"/>
      <c r="H55" s="200"/>
      <c r="J55" s="150" t="s">
        <v>8</v>
      </c>
      <c r="K55" s="145">
        <f>0.04*K34*E49</f>
        <v>13680</v>
      </c>
      <c r="M55" s="145"/>
      <c r="O55" s="150" t="s">
        <v>8</v>
      </c>
      <c r="P55" s="145">
        <f>0.04*P34*E49</f>
        <v>13680</v>
      </c>
      <c r="R55" s="145"/>
    </row>
    <row r="56" spans="2:18" x14ac:dyDescent="0.2">
      <c r="B56" s="150"/>
      <c r="C56" s="648" t="str">
        <f>IF(C54=P54,"Minimum Ast required across y direcion","")</f>
        <v>Minimum Ast required across y direcion</v>
      </c>
      <c r="D56" s="648"/>
      <c r="E56" s="199"/>
      <c r="F56" s="199"/>
      <c r="G56" s="199"/>
      <c r="H56" s="200"/>
      <c r="J56" s="150"/>
      <c r="K56" s="145"/>
      <c r="M56" s="145"/>
      <c r="O56" s="150"/>
      <c r="P56" s="145"/>
      <c r="R56" s="145"/>
    </row>
    <row r="57" spans="2:18" x14ac:dyDescent="0.2">
      <c r="B57" s="150"/>
      <c r="H57" s="145"/>
      <c r="J57" s="150" t="s">
        <v>1</v>
      </c>
      <c r="K57" s="195">
        <f>IF(K51&gt;K54,K51,K54)</f>
        <v>410.4</v>
      </c>
      <c r="M57" s="145"/>
      <c r="O57" s="150" t="s">
        <v>1</v>
      </c>
      <c r="P57" s="195">
        <f>IF(P51&gt;P54,P51,P54)</f>
        <v>410.4</v>
      </c>
      <c r="R57" s="145"/>
    </row>
    <row r="58" spans="2:18" x14ac:dyDescent="0.2">
      <c r="B58" s="150"/>
      <c r="C58" s="240" t="s">
        <v>158</v>
      </c>
      <c r="D58" s="241">
        <v>16</v>
      </c>
      <c r="E58" s="242">
        <v>125</v>
      </c>
      <c r="F58" s="655">
        <f>((((PI()*D58^2)/4)*1000)/E58)</f>
        <v>1608.4954386379741</v>
      </c>
      <c r="G58" s="655"/>
      <c r="H58" s="201" t="str">
        <f>IF(C53&gt;F58,"X","")</f>
        <v/>
      </c>
      <c r="J58" s="166"/>
      <c r="K58" s="190"/>
      <c r="M58" s="145"/>
      <c r="O58" s="166"/>
      <c r="P58" s="190"/>
      <c r="R58" s="145"/>
    </row>
    <row r="59" spans="2:18" ht="15.75" x14ac:dyDescent="0.25">
      <c r="B59" s="202"/>
      <c r="C59" s="240" t="s">
        <v>159</v>
      </c>
      <c r="D59" s="241">
        <v>16</v>
      </c>
      <c r="E59" s="242">
        <v>125</v>
      </c>
      <c r="F59" s="655">
        <f>((((PI()*D59^2)/4)*1000)/E59)</f>
        <v>1608.4954386379741</v>
      </c>
      <c r="G59" s="655"/>
      <c r="H59" s="201" t="str">
        <f>IF(C54&gt;F59,"X","")</f>
        <v/>
      </c>
      <c r="J59" s="146" t="s">
        <v>14</v>
      </c>
      <c r="K59" s="182">
        <f>(C53*100)/(1000*E49)</f>
        <v>0.12</v>
      </c>
      <c r="M59" s="203"/>
      <c r="O59" s="146" t="s">
        <v>14</v>
      </c>
      <c r="P59" s="182">
        <f>(C54*100)/(1000*E49)</f>
        <v>0.12</v>
      </c>
      <c r="R59" s="203"/>
    </row>
    <row r="60" spans="2:18" ht="15.75" x14ac:dyDescent="0.25">
      <c r="B60" s="166"/>
      <c r="C60" s="167"/>
      <c r="D60" s="168"/>
      <c r="E60" s="168"/>
      <c r="F60" s="167"/>
      <c r="G60" s="168"/>
      <c r="H60" s="169"/>
      <c r="J60" s="204" t="s">
        <v>13</v>
      </c>
      <c r="K60" s="205">
        <f>(0.8*E41)/(6.89*K59)</f>
        <v>19.351717464925013</v>
      </c>
      <c r="M60" s="145"/>
      <c r="O60" s="204" t="s">
        <v>13</v>
      </c>
      <c r="P60" s="205">
        <f>(0.8*E41)/(6.89*P59)</f>
        <v>19.351717464925013</v>
      </c>
      <c r="R60" s="145"/>
    </row>
    <row r="61" spans="2:18" x14ac:dyDescent="0.2">
      <c r="B61" s="146"/>
      <c r="C61" s="147"/>
      <c r="D61" s="148"/>
      <c r="E61" s="148"/>
      <c r="F61" s="147"/>
      <c r="G61" s="148"/>
      <c r="H61" s="149"/>
      <c r="J61" s="150"/>
      <c r="M61" s="145"/>
      <c r="O61" s="150"/>
      <c r="R61" s="145"/>
    </row>
    <row r="62" spans="2:18" x14ac:dyDescent="0.2">
      <c r="B62" s="150"/>
      <c r="C62" s="207"/>
      <c r="D62" s="243"/>
      <c r="E62" s="206"/>
      <c r="F62" s="207"/>
      <c r="G62" s="208"/>
      <c r="H62" s="145"/>
      <c r="J62" s="150"/>
      <c r="M62" s="145"/>
      <c r="O62" s="150"/>
      <c r="R62" s="145"/>
    </row>
    <row r="63" spans="2:18" x14ac:dyDescent="0.2">
      <c r="B63" s="150">
        <v>3</v>
      </c>
      <c r="C63" s="656" t="s">
        <v>154</v>
      </c>
      <c r="D63" s="656"/>
      <c r="E63" s="206"/>
      <c r="F63" s="207"/>
      <c r="G63" s="208"/>
      <c r="H63" s="145"/>
      <c r="J63" s="150" t="s">
        <v>138</v>
      </c>
      <c r="K63" s="140">
        <f>0.5+(MIN(E14:E15)/MAX(E14:E15))</f>
        <v>1.5</v>
      </c>
      <c r="M63" s="145"/>
      <c r="O63" s="150" t="s">
        <v>138</v>
      </c>
      <c r="P63" s="140">
        <f>0.5+(MIN(E14:E15)/MAX(E14:E15))</f>
        <v>1.5</v>
      </c>
      <c r="R63" s="145"/>
    </row>
    <row r="64" spans="2:18" x14ac:dyDescent="0.2">
      <c r="B64" s="150"/>
      <c r="D64" s="209"/>
      <c r="E64" s="210"/>
      <c r="F64" s="209"/>
      <c r="G64" s="209"/>
      <c r="H64" s="145"/>
      <c r="J64" s="166" t="s">
        <v>139</v>
      </c>
      <c r="K64" s="168">
        <f>IF(K63&gt;1,1,K63)</f>
        <v>1</v>
      </c>
      <c r="L64" s="168"/>
      <c r="M64" s="169"/>
      <c r="O64" s="166" t="s">
        <v>139</v>
      </c>
      <c r="P64" s="168">
        <f>IF(P63&gt;1,1,P63)</f>
        <v>1</v>
      </c>
      <c r="Q64" s="168"/>
      <c r="R64" s="169"/>
    </row>
    <row r="65" spans="2:8" x14ac:dyDescent="0.2">
      <c r="B65" s="150"/>
      <c r="D65" s="140" t="s">
        <v>133</v>
      </c>
      <c r="E65" s="211">
        <f>(1.5*E28)*E22*(E35-(E49/1000))</f>
        <v>78.153909375000012</v>
      </c>
      <c r="H65" s="145"/>
    </row>
    <row r="66" spans="2:8" x14ac:dyDescent="0.2">
      <c r="B66" s="150"/>
      <c r="D66" s="140" t="s">
        <v>141</v>
      </c>
      <c r="E66" s="212">
        <f>(E65*1000)/((E22*1000)*E49)</f>
        <v>0.14282512678179829</v>
      </c>
      <c r="H66" s="145"/>
    </row>
    <row r="67" spans="2:8" x14ac:dyDescent="0.2">
      <c r="B67" s="150"/>
      <c r="E67" s="210"/>
      <c r="H67" s="145"/>
    </row>
    <row r="68" spans="2:8" ht="16.5" customHeight="1" x14ac:dyDescent="0.2">
      <c r="B68" s="150"/>
      <c r="D68" s="140" t="s">
        <v>140</v>
      </c>
      <c r="E68" s="212">
        <f>((0.85*SQRT(0.8*E41)*(SQRT(1+(5*K60))-1))/(6*K60))</f>
        <v>0.26024219348845418</v>
      </c>
      <c r="G68" s="213"/>
      <c r="H68" s="145"/>
    </row>
    <row r="69" spans="2:8" ht="16.5" customHeight="1" x14ac:dyDescent="0.2">
      <c r="B69" s="150"/>
      <c r="C69" s="214"/>
      <c r="D69" s="140" t="s">
        <v>137</v>
      </c>
      <c r="E69" s="211">
        <f>E68*(E22*E49)</f>
        <v>142.40452827688213</v>
      </c>
      <c r="G69" s="213"/>
      <c r="H69" s="145"/>
    </row>
    <row r="70" spans="2:8" x14ac:dyDescent="0.2">
      <c r="B70" s="150"/>
      <c r="C70" s="214"/>
      <c r="G70" s="213"/>
      <c r="H70" s="145"/>
    </row>
    <row r="71" spans="2:8" x14ac:dyDescent="0.2">
      <c r="B71" s="150"/>
      <c r="D71" s="648" t="str">
        <f>IF(E66&lt;E68,"One Way Shear Check OK","Increase Depth")</f>
        <v>One Way Shear Check OK</v>
      </c>
      <c r="E71" s="648"/>
      <c r="F71" s="165"/>
      <c r="G71" s="213"/>
      <c r="H71" s="145"/>
    </row>
    <row r="72" spans="2:8" ht="12.75" customHeight="1" x14ac:dyDescent="0.2">
      <c r="B72" s="166"/>
      <c r="C72" s="244"/>
      <c r="D72" s="167"/>
      <c r="E72" s="168"/>
      <c r="F72" s="245"/>
      <c r="G72" s="246"/>
      <c r="H72" s="169"/>
    </row>
    <row r="73" spans="2:8" x14ac:dyDescent="0.2">
      <c r="B73" s="150">
        <v>4</v>
      </c>
      <c r="C73" s="151" t="s">
        <v>155</v>
      </c>
      <c r="D73" s="217"/>
      <c r="G73" s="110"/>
      <c r="H73" s="145"/>
    </row>
    <row r="74" spans="2:8" x14ac:dyDescent="0.2">
      <c r="B74" s="150"/>
      <c r="C74" s="151"/>
      <c r="D74" s="209"/>
      <c r="E74" s="210"/>
      <c r="F74" s="209"/>
      <c r="G74" s="209"/>
      <c r="H74" s="145"/>
    </row>
    <row r="75" spans="2:8" ht="12" customHeight="1" x14ac:dyDescent="0.2">
      <c r="B75" s="150"/>
      <c r="D75" s="140" t="s">
        <v>133</v>
      </c>
      <c r="E75" s="211">
        <f>(1.5*E28)*E21*(E36-(E49/1000))</f>
        <v>78.153909375000012</v>
      </c>
      <c r="H75" s="145"/>
    </row>
    <row r="76" spans="2:8" x14ac:dyDescent="0.2">
      <c r="B76" s="150"/>
      <c r="D76" s="140" t="s">
        <v>141</v>
      </c>
      <c r="E76" s="212">
        <f>(E75*1000)/((E21*1000)*E49)</f>
        <v>0.14282512678179829</v>
      </c>
      <c r="H76" s="145"/>
    </row>
    <row r="77" spans="2:8" x14ac:dyDescent="0.2">
      <c r="B77" s="150"/>
      <c r="E77" s="210"/>
      <c r="H77" s="145"/>
    </row>
    <row r="78" spans="2:8" x14ac:dyDescent="0.2">
      <c r="B78" s="150"/>
      <c r="D78" s="140" t="s">
        <v>140</v>
      </c>
      <c r="E78" s="212">
        <f>((0.85*SQRT(0.8*E41)*(SQRT(1+(5*P60))-1))/(6*P60))</f>
        <v>0.26024219348845418</v>
      </c>
      <c r="G78" s="213"/>
      <c r="H78" s="145"/>
    </row>
    <row r="79" spans="2:8" x14ac:dyDescent="0.2">
      <c r="B79" s="150"/>
      <c r="C79" s="214"/>
      <c r="D79" s="140" t="s">
        <v>137</v>
      </c>
      <c r="E79" s="211">
        <f>E78*(E21*E49)</f>
        <v>142.40452827688213</v>
      </c>
      <c r="G79" s="213"/>
      <c r="H79" s="145"/>
    </row>
    <row r="80" spans="2:8" x14ac:dyDescent="0.2">
      <c r="B80" s="150"/>
      <c r="C80" s="214"/>
      <c r="G80" s="213"/>
      <c r="H80" s="145"/>
    </row>
    <row r="81" spans="2:19" x14ac:dyDescent="0.2">
      <c r="B81" s="150"/>
      <c r="D81" s="648" t="str">
        <f>IF(E76&lt;E78,"One Way Shear Check OK","Increase Depth")</f>
        <v>One Way Shear Check OK</v>
      </c>
      <c r="E81" s="648"/>
      <c r="F81" s="165"/>
      <c r="G81" s="213"/>
      <c r="H81" s="145"/>
    </row>
    <row r="82" spans="2:19" x14ac:dyDescent="0.2">
      <c r="B82" s="150"/>
      <c r="C82" s="151"/>
      <c r="D82" s="143"/>
      <c r="F82" s="215"/>
      <c r="G82" s="216"/>
      <c r="H82" s="145"/>
    </row>
    <row r="83" spans="2:19" x14ac:dyDescent="0.2">
      <c r="B83" s="166"/>
      <c r="C83" s="244"/>
      <c r="D83" s="167"/>
      <c r="E83" s="168"/>
      <c r="F83" s="245"/>
      <c r="G83" s="246"/>
      <c r="H83" s="169"/>
      <c r="S83" s="218"/>
    </row>
    <row r="84" spans="2:19" x14ac:dyDescent="0.2">
      <c r="B84" s="150">
        <v>5</v>
      </c>
      <c r="C84" s="151" t="s">
        <v>135</v>
      </c>
      <c r="D84" s="143"/>
      <c r="F84" s="219"/>
      <c r="G84" s="216"/>
      <c r="H84" s="145"/>
    </row>
    <row r="85" spans="2:19" ht="12.75" customHeight="1" x14ac:dyDescent="0.2">
      <c r="B85" s="150"/>
      <c r="D85" s="140" t="s">
        <v>136</v>
      </c>
      <c r="E85" s="211">
        <f>(1.5*E28)*(((E22)*(E21))-(((E14+(E49/2)+(E49/2))*(E15+(E49/2)+(E49/2)))/(1000*1000)))</f>
        <v>361.43990760000008</v>
      </c>
      <c r="F85" s="219"/>
      <c r="G85" s="216"/>
      <c r="H85" s="145"/>
    </row>
    <row r="86" spans="2:19" ht="12.75" customHeight="1" x14ac:dyDescent="0.2">
      <c r="B86" s="150"/>
      <c r="C86" s="151"/>
      <c r="D86" s="140" t="s">
        <v>141</v>
      </c>
      <c r="E86" s="212">
        <f>(E85*1000)/((((E14+(E49/2)+(E49/2))+(E15+(E49/2)+(E49/2)))*2)*E49)</f>
        <v>0.3787420567258169</v>
      </c>
      <c r="F86" s="215"/>
      <c r="G86" s="216"/>
      <c r="H86" s="145"/>
      <c r="P86" s="218"/>
    </row>
    <row r="87" spans="2:19" ht="12.75" customHeight="1" x14ac:dyDescent="0.2">
      <c r="B87" s="150"/>
      <c r="G87" s="110"/>
      <c r="H87" s="145"/>
      <c r="P87" s="218"/>
    </row>
    <row r="88" spans="2:19" ht="12.75" customHeight="1" x14ac:dyDescent="0.2">
      <c r="B88" s="150"/>
      <c r="D88" s="140" t="s">
        <v>142</v>
      </c>
      <c r="E88" s="212">
        <f>P64*(0.25*SQRT(E41))</f>
        <v>1.1180339887498949</v>
      </c>
      <c r="F88" s="220"/>
      <c r="G88" s="216"/>
      <c r="H88" s="145"/>
      <c r="P88" s="218"/>
    </row>
    <row r="89" spans="2:19" ht="12.75" customHeight="1" x14ac:dyDescent="0.2">
      <c r="B89" s="150"/>
      <c r="D89" s="140" t="s">
        <v>137</v>
      </c>
      <c r="E89" s="211">
        <f>(E88*(((E14+(E49/2)+(E49/2))+(E15+(E49/2)+(E49/2)))*2)*E49)/1000</f>
        <v>1066.958618435036</v>
      </c>
      <c r="F89" s="220"/>
      <c r="G89" s="216"/>
      <c r="H89" s="145"/>
      <c r="P89" s="218"/>
    </row>
    <row r="90" spans="2:19" ht="12.75" customHeight="1" x14ac:dyDescent="0.2">
      <c r="B90" s="150"/>
      <c r="E90" s="154"/>
      <c r="F90" s="220"/>
      <c r="G90" s="216"/>
      <c r="H90" s="145"/>
      <c r="P90" s="218"/>
    </row>
    <row r="91" spans="2:19" ht="12.75" customHeight="1" x14ac:dyDescent="0.2">
      <c r="B91" s="150"/>
      <c r="C91" s="157"/>
      <c r="D91" s="648" t="str">
        <f>IF(E86&lt;E88,"Two Way Shear Check OK","Increase Depth")</f>
        <v>Two Way Shear Check OK</v>
      </c>
      <c r="E91" s="648"/>
      <c r="F91" s="220"/>
      <c r="G91" s="216"/>
      <c r="H91" s="145"/>
      <c r="P91" s="218"/>
    </row>
    <row r="92" spans="2:19" ht="12.75" customHeight="1" x14ac:dyDescent="0.2">
      <c r="B92" s="150"/>
      <c r="D92" s="223"/>
      <c r="G92" s="110"/>
      <c r="H92" s="145"/>
      <c r="P92" s="218"/>
    </row>
    <row r="93" spans="2:19" ht="12.75" customHeight="1" x14ac:dyDescent="0.2">
      <c r="B93" s="166"/>
      <c r="C93" s="167"/>
      <c r="D93" s="221"/>
      <c r="E93" s="168"/>
      <c r="F93" s="167"/>
      <c r="G93" s="222"/>
      <c r="H93" s="169"/>
      <c r="P93" s="218"/>
    </row>
    <row r="94" spans="2:19" ht="12.75" customHeight="1" x14ac:dyDescent="0.2">
      <c r="B94" s="150"/>
      <c r="D94" s="223"/>
      <c r="G94" s="110"/>
      <c r="H94" s="145"/>
      <c r="P94" s="218"/>
    </row>
    <row r="95" spans="2:19" ht="12.75" customHeight="1" x14ac:dyDescent="0.2">
      <c r="B95" s="150"/>
      <c r="C95" s="224"/>
      <c r="D95" s="225" t="s">
        <v>156</v>
      </c>
      <c r="E95" s="226">
        <f>E21</f>
        <v>1.6</v>
      </c>
      <c r="H95" s="145"/>
      <c r="P95" s="218"/>
    </row>
    <row r="96" spans="2:19" ht="12.75" customHeight="1" x14ac:dyDescent="0.2">
      <c r="B96" s="150"/>
      <c r="C96" s="227"/>
      <c r="D96" s="143"/>
      <c r="H96" s="145"/>
      <c r="P96" s="218"/>
    </row>
    <row r="97" spans="2:16" ht="12.75" customHeight="1" x14ac:dyDescent="0.2">
      <c r="B97" s="150"/>
      <c r="C97" s="227"/>
      <c r="D97" s="228"/>
      <c r="E97" s="229"/>
      <c r="H97" s="145"/>
      <c r="P97" s="218"/>
    </row>
    <row r="98" spans="2:16" ht="12.75" customHeight="1" x14ac:dyDescent="0.2">
      <c r="B98" s="150"/>
      <c r="C98" s="227"/>
      <c r="E98" s="229"/>
      <c r="H98" s="145"/>
      <c r="P98" s="218"/>
    </row>
    <row r="99" spans="2:16" ht="12.75" customHeight="1" x14ac:dyDescent="0.2">
      <c r="B99" s="150"/>
      <c r="H99" s="145"/>
      <c r="P99" s="218"/>
    </row>
    <row r="100" spans="2:16" ht="12.75" customHeight="1" x14ac:dyDescent="0.2">
      <c r="B100" s="150"/>
      <c r="H100" s="145"/>
      <c r="P100" s="218"/>
    </row>
    <row r="101" spans="2:16" ht="14.25" customHeight="1" x14ac:dyDescent="0.2">
      <c r="B101" s="150"/>
      <c r="H101" s="145"/>
      <c r="P101" s="218"/>
    </row>
    <row r="102" spans="2:16" ht="14.25" customHeight="1" x14ac:dyDescent="0.2">
      <c r="B102" s="150"/>
      <c r="H102" s="145"/>
      <c r="P102" s="218"/>
    </row>
    <row r="103" spans="2:16" ht="19.5" customHeight="1" x14ac:dyDescent="0.2">
      <c r="B103" s="150"/>
      <c r="H103" s="145"/>
      <c r="P103" s="218"/>
    </row>
    <row r="104" spans="2:16" ht="12" customHeight="1" x14ac:dyDescent="0.2">
      <c r="B104" s="150"/>
      <c r="E104" s="216">
        <f>E14</f>
        <v>355.6</v>
      </c>
      <c r="H104" s="145"/>
      <c r="P104" s="218"/>
    </row>
    <row r="105" spans="2:16" ht="18.75" customHeight="1" x14ac:dyDescent="0.2">
      <c r="B105" s="230" t="s">
        <v>157</v>
      </c>
      <c r="C105" s="226">
        <f>E22</f>
        <v>1.6</v>
      </c>
      <c r="D105" s="231">
        <f>E15</f>
        <v>355.6</v>
      </c>
      <c r="H105" s="145"/>
      <c r="P105" s="218"/>
    </row>
    <row r="106" spans="2:16" ht="12.75" customHeight="1" x14ac:dyDescent="0.2">
      <c r="B106" s="150"/>
      <c r="H106" s="145"/>
      <c r="P106" s="218"/>
    </row>
    <row r="107" spans="2:16" ht="12.75" customHeight="1" x14ac:dyDescent="0.2">
      <c r="B107" s="150"/>
      <c r="H107" s="145"/>
      <c r="P107" s="218"/>
    </row>
    <row r="108" spans="2:16" ht="12.75" customHeight="1" x14ac:dyDescent="0.2">
      <c r="B108" s="150"/>
      <c r="H108" s="145"/>
      <c r="P108" s="218"/>
    </row>
    <row r="109" spans="2:16" ht="12.75" customHeight="1" x14ac:dyDescent="0.2">
      <c r="B109" s="150"/>
      <c r="H109" s="145"/>
      <c r="P109" s="218"/>
    </row>
    <row r="110" spans="2:16" ht="12.75" customHeight="1" x14ac:dyDescent="0.2">
      <c r="B110" s="150"/>
      <c r="H110" s="145"/>
      <c r="P110" s="218"/>
    </row>
    <row r="111" spans="2:16" ht="12.75" customHeight="1" x14ac:dyDescent="0.2">
      <c r="B111" s="150"/>
      <c r="H111" s="145"/>
      <c r="P111" s="218"/>
    </row>
    <row r="112" spans="2:16" x14ac:dyDescent="0.2">
      <c r="B112" s="150"/>
      <c r="H112" s="145"/>
    </row>
    <row r="113" spans="2:18" x14ac:dyDescent="0.2">
      <c r="B113" s="150"/>
      <c r="H113" s="145"/>
      <c r="P113" s="232"/>
      <c r="R113" s="233"/>
    </row>
    <row r="114" spans="2:18" x14ac:dyDescent="0.2">
      <c r="B114" s="150"/>
      <c r="H114" s="145"/>
      <c r="P114" s="232"/>
      <c r="R114" s="233"/>
    </row>
    <row r="115" spans="2:18" x14ac:dyDescent="0.2">
      <c r="B115" s="150"/>
      <c r="H115" s="145"/>
      <c r="P115" s="232"/>
      <c r="R115" s="233"/>
    </row>
    <row r="116" spans="2:18" x14ac:dyDescent="0.2">
      <c r="B116" s="150"/>
      <c r="H116" s="145"/>
      <c r="P116" s="218"/>
      <c r="R116" s="233"/>
    </row>
    <row r="117" spans="2:18" x14ac:dyDescent="0.2">
      <c r="B117" s="150"/>
      <c r="H117" s="145"/>
    </row>
    <row r="118" spans="2:18" x14ac:dyDescent="0.2">
      <c r="B118" s="150"/>
      <c r="H118" s="145"/>
      <c r="P118" s="218"/>
    </row>
    <row r="119" spans="2:18" x14ac:dyDescent="0.2">
      <c r="B119" s="150"/>
      <c r="H119" s="145"/>
    </row>
    <row r="120" spans="2:18" x14ac:dyDescent="0.2">
      <c r="B120" s="150"/>
      <c r="H120" s="145"/>
    </row>
    <row r="121" spans="2:18" ht="12.75" customHeight="1" x14ac:dyDescent="0.2">
      <c r="B121" s="150"/>
      <c r="H121" s="145"/>
    </row>
    <row r="122" spans="2:18" ht="12.75" customHeight="1" x14ac:dyDescent="0.2">
      <c r="B122" s="150"/>
      <c r="G122" s="654">
        <f>E46</f>
        <v>400</v>
      </c>
      <c r="H122" s="145"/>
    </row>
    <row r="123" spans="2:18" x14ac:dyDescent="0.2">
      <c r="B123" s="150"/>
      <c r="G123" s="654"/>
      <c r="H123" s="145"/>
    </row>
    <row r="124" spans="2:18" ht="15.75" customHeight="1" x14ac:dyDescent="0.2">
      <c r="B124" s="150"/>
      <c r="G124" s="654"/>
      <c r="H124" s="145"/>
    </row>
    <row r="125" spans="2:18" ht="19.5" customHeight="1" x14ac:dyDescent="0.2">
      <c r="B125" s="150"/>
      <c r="G125" s="654"/>
      <c r="H125" s="145"/>
    </row>
    <row r="126" spans="2:18" x14ac:dyDescent="0.2">
      <c r="B126" s="150"/>
      <c r="C126" s="653">
        <f>IF(G122&lt;450,150,IF(G122&lt;600,200,IF(G122&lt;750,250,IF(G122&lt;900,300,400))))</f>
        <v>150</v>
      </c>
      <c r="H126" s="145"/>
    </row>
    <row r="127" spans="2:18" x14ac:dyDescent="0.2">
      <c r="B127" s="150"/>
      <c r="C127" s="653"/>
      <c r="H127" s="145"/>
    </row>
    <row r="128" spans="2:18" x14ac:dyDescent="0.2">
      <c r="B128" s="150"/>
      <c r="H128" s="145"/>
    </row>
    <row r="129" spans="2:16" x14ac:dyDescent="0.2">
      <c r="B129" s="150"/>
      <c r="D129" s="234">
        <f>D58</f>
        <v>16</v>
      </c>
      <c r="E129" s="235">
        <f>E58</f>
        <v>125</v>
      </c>
      <c r="G129" s="234">
        <f>D59</f>
        <v>16</v>
      </c>
      <c r="H129" s="236">
        <f>E59</f>
        <v>125</v>
      </c>
    </row>
    <row r="130" spans="2:16" ht="12.75" customHeight="1" x14ac:dyDescent="0.2">
      <c r="B130" s="166"/>
      <c r="C130" s="167"/>
      <c r="D130" s="168"/>
      <c r="E130" s="168"/>
      <c r="F130" s="167"/>
      <c r="G130" s="168"/>
      <c r="H130" s="169"/>
    </row>
    <row r="131" spans="2:16" ht="15" customHeight="1" x14ac:dyDescent="0.2"/>
    <row r="134" spans="2:16" x14ac:dyDescent="0.2">
      <c r="L134" s="110"/>
      <c r="M134" s="110"/>
      <c r="N134" s="110"/>
      <c r="O134" s="237"/>
      <c r="P134" s="238"/>
    </row>
    <row r="135" spans="2:16" x14ac:dyDescent="0.2">
      <c r="L135" s="110"/>
      <c r="M135" s="110"/>
      <c r="N135" s="110"/>
      <c r="O135" s="237"/>
      <c r="P135" s="238"/>
    </row>
    <row r="136" spans="2:16" ht="12.75" customHeight="1" x14ac:dyDescent="0.2">
      <c r="L136" s="110"/>
      <c r="M136" s="110"/>
      <c r="N136" s="110"/>
      <c r="O136" s="237"/>
    </row>
    <row r="144" spans="2:16" ht="11.25" customHeight="1" x14ac:dyDescent="0.2"/>
  </sheetData>
  <protectedRanges>
    <protectedRange sqref="K34 E46:E47 E65 C79:C80 E41:E42 C69:C70 P34 E75 E90 D58:D59" name="Inputs_1"/>
  </protectedRanges>
  <customSheetViews>
    <customSheetView guid="{F4A77AC2-BDEF-4892-9A52-8132BA2AE24F}" scale="25" showPageBreaks="1" printArea="1">
      <selection activeCell="F7" sqref="F7"/>
      <rowBreaks count="1" manualBreakCount="1">
        <brk id="60" max="16383" man="1"/>
      </rowBreaks>
      <pageMargins left="0.25" right="0.25" top="0.2" bottom="0.2" header="0.3" footer="0.3"/>
      <printOptions horizontalCentered="1"/>
      <pageSetup paperSize="9" scale="90" orientation="portrait" horizontalDpi="4294967293" r:id="rId1"/>
    </customSheetView>
  </customSheetViews>
  <mergeCells count="16">
    <mergeCell ref="C126:C127"/>
    <mergeCell ref="G122:G125"/>
    <mergeCell ref="D81:E81"/>
    <mergeCell ref="D91:E91"/>
    <mergeCell ref="C55:D55"/>
    <mergeCell ref="C56:D56"/>
    <mergeCell ref="D71:E71"/>
    <mergeCell ref="F58:G58"/>
    <mergeCell ref="C63:D63"/>
    <mergeCell ref="F59:G59"/>
    <mergeCell ref="B3:H3"/>
    <mergeCell ref="F21:H21"/>
    <mergeCell ref="D30:E30"/>
    <mergeCell ref="C21:C22"/>
    <mergeCell ref="C51:C52"/>
    <mergeCell ref="D51:F51"/>
  </mergeCells>
  <phoneticPr fontId="0" type="noConversion"/>
  <dataValidations count="3">
    <dataValidation type="list" allowBlank="1" showInputMessage="1" showErrorMessage="1" sqref="E42" xr:uid="{00000000-0002-0000-0600-000000000000}">
      <formula1>"250,415,500"</formula1>
    </dataValidation>
    <dataValidation type="list" allowBlank="1" showInputMessage="1" showErrorMessage="1" sqref="E41" xr:uid="{00000000-0002-0000-0600-000001000000}">
      <formula1>"15,20,25,30"</formula1>
    </dataValidation>
    <dataValidation type="list" showInputMessage="1" showErrorMessage="1" sqref="D58:D59" xr:uid="{00000000-0002-0000-0600-000002000000}">
      <formula1>" -,12,16,20"</formula1>
    </dataValidation>
  </dataValidations>
  <printOptions horizontalCentered="1"/>
  <pageMargins left="0.25" right="0.25" top="0.2" bottom="0.2" header="0.3" footer="0.3"/>
  <pageSetup paperSize="9" scale="90" orientation="portrait" horizontalDpi="4294967293" r:id="rId2"/>
  <rowBreaks count="1" manualBreakCount="1">
    <brk id="60" max="16383" man="1"/>
  </rowBreaks>
  <drawing r:id="rId3"/>
  <legacyDrawing r:id="rId4"/>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E184BC-F91D-4262-8E7C-0AE4E9881B48}">
  <sheetPr codeName="Sheet6"/>
  <dimension ref="B2:J72"/>
  <sheetViews>
    <sheetView view="pageBreakPreview" topLeftCell="A32" zoomScale="70" zoomScaleNormal="100" zoomScaleSheetLayoutView="70" workbookViewId="0">
      <selection activeCell="J35" sqref="J35"/>
    </sheetView>
  </sheetViews>
  <sheetFormatPr defaultRowHeight="12.75" x14ac:dyDescent="0.2"/>
  <cols>
    <col min="1" max="1" width="9.140625" style="288"/>
    <col min="2" max="2" width="40.7109375" style="288" bestFit="1" customWidth="1"/>
    <col min="3" max="3" width="7.28515625" style="288" bestFit="1" customWidth="1"/>
    <col min="4" max="4" width="6.28515625" style="288" bestFit="1" customWidth="1"/>
    <col min="5" max="5" width="9.5703125" style="288" bestFit="1" customWidth="1"/>
    <col min="6" max="7" width="9.140625" style="288"/>
    <col min="8" max="8" width="10.28515625" style="288" bestFit="1" customWidth="1"/>
    <col min="9" max="9" width="13.5703125" style="288" bestFit="1" customWidth="1"/>
    <col min="10" max="16384" width="9.140625" style="288"/>
  </cols>
  <sheetData>
    <row r="2" spans="2:10" ht="12.75" customHeight="1" x14ac:dyDescent="0.2">
      <c r="B2" s="665" t="s">
        <v>500</v>
      </c>
      <c r="C2" s="665"/>
      <c r="D2" s="665"/>
      <c r="E2" s="665"/>
      <c r="F2" s="665"/>
      <c r="G2" s="665"/>
      <c r="H2" s="665"/>
      <c r="I2" s="665"/>
      <c r="J2" s="665"/>
    </row>
    <row r="3" spans="2:10" ht="12.75" customHeight="1" x14ac:dyDescent="0.2">
      <c r="B3" s="665"/>
      <c r="C3" s="665"/>
      <c r="D3" s="665"/>
      <c r="E3" s="665"/>
      <c r="F3" s="665"/>
      <c r="G3" s="665"/>
      <c r="H3" s="665"/>
      <c r="I3" s="665"/>
      <c r="J3" s="665"/>
    </row>
    <row r="4" spans="2:10" ht="15.75" x14ac:dyDescent="0.25">
      <c r="B4" s="298"/>
      <c r="C4" s="298"/>
      <c r="D4" s="298"/>
      <c r="E4" s="298"/>
      <c r="F4" s="298"/>
      <c r="G4" s="298"/>
      <c r="H4" s="298"/>
      <c r="I4" s="298"/>
      <c r="J4" s="298"/>
    </row>
    <row r="5" spans="2:10" ht="15.75" x14ac:dyDescent="0.25">
      <c r="B5" s="657" t="s">
        <v>499</v>
      </c>
      <c r="C5" s="658"/>
      <c r="D5" s="294">
        <v>355.6</v>
      </c>
      <c r="E5" s="294">
        <v>355.6</v>
      </c>
      <c r="F5" s="289" t="s">
        <v>444</v>
      </c>
      <c r="G5" s="289"/>
      <c r="H5" s="289"/>
      <c r="I5" s="289"/>
      <c r="J5" s="289"/>
    </row>
    <row r="6" spans="2:10" ht="15.75" x14ac:dyDescent="0.25">
      <c r="B6" s="657" t="s">
        <v>498</v>
      </c>
      <c r="C6" s="658"/>
      <c r="D6" s="294">
        <v>355.6</v>
      </c>
      <c r="E6" s="294">
        <v>355.6</v>
      </c>
      <c r="F6" s="289" t="s">
        <v>444</v>
      </c>
      <c r="G6" s="289"/>
      <c r="H6" s="289"/>
      <c r="I6" s="289"/>
      <c r="J6" s="289"/>
    </row>
    <row r="7" spans="2:10" ht="15.75" x14ac:dyDescent="0.25">
      <c r="B7" s="657" t="s">
        <v>497</v>
      </c>
      <c r="C7" s="658"/>
      <c r="D7" s="294">
        <v>541</v>
      </c>
      <c r="E7" s="289" t="s">
        <v>11</v>
      </c>
      <c r="F7" s="289"/>
      <c r="G7" s="289"/>
      <c r="H7" s="289"/>
      <c r="I7" s="289"/>
      <c r="J7" s="289"/>
    </row>
    <row r="8" spans="2:10" ht="15.75" x14ac:dyDescent="0.25">
      <c r="B8" s="657" t="s">
        <v>497</v>
      </c>
      <c r="C8" s="658"/>
      <c r="D8" s="294">
        <v>325</v>
      </c>
      <c r="E8" s="289" t="s">
        <v>11</v>
      </c>
      <c r="F8" s="289"/>
      <c r="G8" s="289"/>
      <c r="H8" s="289"/>
      <c r="I8" s="289"/>
      <c r="J8" s="289"/>
    </row>
    <row r="9" spans="2:10" ht="15.75" x14ac:dyDescent="0.25">
      <c r="B9" s="657" t="s">
        <v>496</v>
      </c>
      <c r="C9" s="658"/>
      <c r="D9" s="294">
        <v>500</v>
      </c>
      <c r="E9" s="289" t="s">
        <v>472</v>
      </c>
      <c r="F9" s="289"/>
      <c r="G9" s="289"/>
      <c r="H9" s="289"/>
      <c r="I9" s="289"/>
      <c r="J9" s="289"/>
    </row>
    <row r="10" spans="2:10" ht="15.75" x14ac:dyDescent="0.25">
      <c r="B10" s="657" t="s">
        <v>495</v>
      </c>
      <c r="C10" s="658"/>
      <c r="D10" s="294">
        <v>20</v>
      </c>
      <c r="E10" s="289" t="s">
        <v>494</v>
      </c>
      <c r="F10" s="289"/>
      <c r="G10" s="289"/>
      <c r="H10" s="289"/>
      <c r="I10" s="289"/>
      <c r="J10" s="289"/>
    </row>
    <row r="11" spans="2:10" ht="15.75" x14ac:dyDescent="0.25">
      <c r="B11" s="657" t="s">
        <v>681</v>
      </c>
      <c r="C11" s="658"/>
      <c r="D11" s="294">
        <v>3.4289999999999998</v>
      </c>
      <c r="E11" s="289" t="s">
        <v>443</v>
      </c>
      <c r="F11" s="289"/>
      <c r="G11" s="289"/>
      <c r="H11" s="289"/>
      <c r="I11" s="289"/>
      <c r="J11" s="289"/>
    </row>
    <row r="12" spans="2:10" ht="15.75" x14ac:dyDescent="0.25">
      <c r="B12" s="668" t="s">
        <v>493</v>
      </c>
      <c r="C12" s="668"/>
      <c r="D12" s="294">
        <v>140</v>
      </c>
      <c r="E12" s="289" t="s">
        <v>481</v>
      </c>
      <c r="F12" s="289"/>
      <c r="G12" s="289"/>
      <c r="H12" s="289"/>
      <c r="I12" s="289"/>
      <c r="J12" s="289"/>
    </row>
    <row r="13" spans="2:10" ht="15.75" x14ac:dyDescent="0.25">
      <c r="B13" s="657" t="s">
        <v>492</v>
      </c>
      <c r="C13" s="658"/>
      <c r="D13" s="292"/>
      <c r="E13" s="289">
        <f>(D7+D8)/1.5+0.1*(D7+D8)</f>
        <v>663.93333333333339</v>
      </c>
      <c r="F13" s="289" t="s">
        <v>491</v>
      </c>
      <c r="G13" s="289"/>
      <c r="H13" s="289"/>
      <c r="I13" s="289"/>
      <c r="J13" s="289"/>
    </row>
    <row r="14" spans="2:10" ht="15.75" x14ac:dyDescent="0.25">
      <c r="B14" s="663" t="s">
        <v>490</v>
      </c>
      <c r="C14" s="663"/>
      <c r="D14" s="663"/>
      <c r="E14" s="289">
        <f>E13/D12</f>
        <v>4.7423809523809526</v>
      </c>
      <c r="F14" s="289" t="s">
        <v>489</v>
      </c>
      <c r="G14" s="289"/>
      <c r="H14" s="289"/>
      <c r="I14" s="289"/>
      <c r="J14" s="289"/>
    </row>
    <row r="15" spans="2:10" ht="15.75" x14ac:dyDescent="0.25">
      <c r="B15" s="667" t="s">
        <v>488</v>
      </c>
      <c r="C15" s="667"/>
      <c r="D15" s="667"/>
      <c r="E15" s="289">
        <f>D8*D11/E13</f>
        <v>1.6785194296616124</v>
      </c>
      <c r="F15" s="289" t="s">
        <v>443</v>
      </c>
      <c r="G15" s="289"/>
      <c r="H15" s="289"/>
      <c r="I15" s="289"/>
      <c r="J15" s="289"/>
    </row>
    <row r="16" spans="2:10" ht="15.75" x14ac:dyDescent="0.25">
      <c r="B16" s="663" t="s">
        <v>487</v>
      </c>
      <c r="C16" s="663"/>
      <c r="D16" s="663"/>
      <c r="E16" s="293">
        <v>1.8</v>
      </c>
      <c r="F16" s="289" t="s">
        <v>443</v>
      </c>
      <c r="G16" s="289"/>
      <c r="H16" s="289"/>
      <c r="I16" s="289"/>
      <c r="J16" s="289"/>
    </row>
    <row r="17" spans="2:10" ht="15.75" x14ac:dyDescent="0.25">
      <c r="B17" s="663" t="s">
        <v>682</v>
      </c>
      <c r="C17" s="663"/>
      <c r="D17" s="663"/>
      <c r="E17" s="289">
        <f>E14/E16</f>
        <v>2.6346560846560849</v>
      </c>
      <c r="F17" s="289" t="s">
        <v>443</v>
      </c>
      <c r="G17" s="289"/>
      <c r="H17" s="289"/>
      <c r="I17" s="289"/>
      <c r="J17" s="289"/>
    </row>
    <row r="18" spans="2:10" ht="15.75" x14ac:dyDescent="0.25">
      <c r="B18" s="663" t="s">
        <v>683</v>
      </c>
      <c r="C18" s="663"/>
      <c r="D18" s="663"/>
      <c r="E18" s="289">
        <f>E15*E17/D11</f>
        <v>1.2896825396825398</v>
      </c>
      <c r="F18" s="289"/>
      <c r="G18" s="289" t="s">
        <v>486</v>
      </c>
      <c r="H18" s="289"/>
      <c r="I18" s="290">
        <v>1.8</v>
      </c>
      <c r="J18" s="289"/>
    </row>
    <row r="19" spans="2:10" ht="15.75" x14ac:dyDescent="0.25">
      <c r="B19" s="663" t="s">
        <v>485</v>
      </c>
      <c r="C19" s="663"/>
      <c r="D19" s="663"/>
      <c r="E19" s="289">
        <f>E17-E18</f>
        <v>1.3449735449735452</v>
      </c>
      <c r="F19" s="289"/>
      <c r="G19" s="289" t="s">
        <v>484</v>
      </c>
      <c r="H19" s="289"/>
      <c r="I19" s="290">
        <v>1.9</v>
      </c>
      <c r="J19" s="289"/>
    </row>
    <row r="20" spans="2:10" ht="15.75" x14ac:dyDescent="0.25">
      <c r="B20" s="657" t="s">
        <v>483</v>
      </c>
      <c r="C20" s="658"/>
      <c r="D20" s="292"/>
      <c r="E20" s="289">
        <f>E13/(E16*(I18+I19))</f>
        <v>99.6896896896897</v>
      </c>
      <c r="F20" s="289" t="s">
        <v>442</v>
      </c>
      <c r="G20" s="289" t="s">
        <v>482</v>
      </c>
      <c r="H20" s="289">
        <f>D12</f>
        <v>140</v>
      </c>
      <c r="I20" s="290" t="s">
        <v>481</v>
      </c>
      <c r="J20" s="598" t="s">
        <v>480</v>
      </c>
    </row>
    <row r="21" spans="2:10" ht="15.75" x14ac:dyDescent="0.25">
      <c r="B21" s="593" t="s">
        <v>479</v>
      </c>
      <c r="C21" s="289"/>
      <c r="D21" s="292"/>
      <c r="E21" s="289"/>
      <c r="F21" s="289"/>
      <c r="G21" s="289"/>
      <c r="H21" s="289"/>
      <c r="I21" s="290"/>
      <c r="J21" s="289"/>
    </row>
    <row r="22" spans="2:10" ht="15.75" x14ac:dyDescent="0.25">
      <c r="B22" s="657" t="s">
        <v>447</v>
      </c>
      <c r="C22" s="658"/>
      <c r="D22" s="592"/>
      <c r="E22" s="289">
        <f>E13*1.5/(E16*(I18+I19))</f>
        <v>149.53453453453454</v>
      </c>
      <c r="F22" s="289" t="s">
        <v>442</v>
      </c>
      <c r="G22" s="289"/>
      <c r="H22" s="289"/>
      <c r="I22" s="290"/>
      <c r="J22" s="289"/>
    </row>
    <row r="23" spans="2:10" ht="15.75" x14ac:dyDescent="0.25">
      <c r="B23" s="657" t="s">
        <v>478</v>
      </c>
      <c r="C23" s="658"/>
      <c r="D23" s="592"/>
      <c r="E23" s="289">
        <f>E22*(1-D5/2000)*(1-E5/2000)/2</f>
        <v>50.543632684384391</v>
      </c>
      <c r="F23" s="289" t="s">
        <v>457</v>
      </c>
      <c r="G23" s="289"/>
      <c r="H23" s="289"/>
      <c r="I23" s="290"/>
      <c r="J23" s="289"/>
    </row>
    <row r="24" spans="2:10" ht="15.75" x14ac:dyDescent="0.25">
      <c r="B24" s="657" t="s">
        <v>477</v>
      </c>
      <c r="C24" s="658"/>
      <c r="D24" s="592"/>
      <c r="E24" s="289">
        <f>E22*(1-D5/2000)</f>
        <v>122.94729429429431</v>
      </c>
      <c r="F24" s="289" t="s">
        <v>11</v>
      </c>
      <c r="G24" s="289"/>
      <c r="H24" s="289"/>
      <c r="I24" s="289"/>
      <c r="J24" s="289"/>
    </row>
    <row r="25" spans="2:10" ht="15.75" x14ac:dyDescent="0.25">
      <c r="B25" s="657" t="s">
        <v>476</v>
      </c>
      <c r="C25" s="658"/>
      <c r="D25" s="592"/>
      <c r="E25" s="289">
        <f>SQRT(E23*1000000/(0.138*D10*1000))</f>
        <v>135.32520235674096</v>
      </c>
      <c r="F25" s="289" t="s">
        <v>444</v>
      </c>
      <c r="G25" s="289"/>
      <c r="H25" s="289"/>
      <c r="I25" s="289"/>
      <c r="J25" s="289"/>
    </row>
    <row r="26" spans="2:10" ht="15.75" x14ac:dyDescent="0.25">
      <c r="B26" s="657" t="s">
        <v>475</v>
      </c>
      <c r="C26" s="658"/>
      <c r="D26" s="592"/>
      <c r="E26" s="289"/>
      <c r="F26" s="289"/>
      <c r="G26" s="289"/>
      <c r="H26" s="289"/>
      <c r="I26" s="289"/>
      <c r="J26" s="289"/>
    </row>
    <row r="27" spans="2:10" ht="15.75" x14ac:dyDescent="0.25">
      <c r="B27" s="663" t="s">
        <v>474</v>
      </c>
      <c r="C27" s="663"/>
      <c r="D27" s="663"/>
      <c r="E27" s="289">
        <v>0.96</v>
      </c>
      <c r="F27" s="289" t="s">
        <v>113</v>
      </c>
      <c r="G27" s="289"/>
      <c r="H27" s="289"/>
      <c r="I27" s="289"/>
      <c r="J27" s="289"/>
    </row>
    <row r="28" spans="2:10" ht="15.75" x14ac:dyDescent="0.25">
      <c r="B28" s="663" t="s">
        <v>473</v>
      </c>
      <c r="C28" s="663"/>
      <c r="D28" s="663"/>
      <c r="E28" s="289">
        <v>0.61</v>
      </c>
      <c r="F28" s="289" t="s">
        <v>472</v>
      </c>
      <c r="G28" s="289"/>
      <c r="H28" s="289"/>
      <c r="I28" s="289"/>
      <c r="J28" s="289"/>
    </row>
    <row r="29" spans="2:10" ht="15.75" x14ac:dyDescent="0.25">
      <c r="B29" s="657" t="s">
        <v>471</v>
      </c>
      <c r="C29" s="658"/>
      <c r="D29" s="292"/>
      <c r="E29" s="289">
        <f>E24*1000/(E28*1000)</f>
        <v>201.55294146605624</v>
      </c>
      <c r="F29" s="289" t="s">
        <v>444</v>
      </c>
      <c r="G29" s="289"/>
      <c r="H29" s="289"/>
      <c r="I29" s="289"/>
      <c r="J29" s="289"/>
    </row>
    <row r="30" spans="2:10" ht="15.75" x14ac:dyDescent="0.25">
      <c r="B30" s="657" t="s">
        <v>470</v>
      </c>
      <c r="C30" s="658"/>
      <c r="D30" s="292"/>
      <c r="E30" s="291">
        <f>E32-E31</f>
        <v>400</v>
      </c>
      <c r="F30" s="289" t="s">
        <v>444</v>
      </c>
      <c r="G30" s="289"/>
      <c r="H30" s="289"/>
      <c r="I30" s="289"/>
      <c r="J30" s="289"/>
    </row>
    <row r="31" spans="2:10" ht="15.75" x14ac:dyDescent="0.25">
      <c r="B31" s="657" t="s">
        <v>454</v>
      </c>
      <c r="C31" s="658"/>
      <c r="D31" s="292"/>
      <c r="E31" s="289">
        <v>40</v>
      </c>
      <c r="F31" s="289" t="s">
        <v>444</v>
      </c>
      <c r="G31" s="289"/>
      <c r="H31" s="289"/>
      <c r="I31" s="289"/>
      <c r="J31" s="289"/>
    </row>
    <row r="32" spans="2:10" ht="15.75" x14ac:dyDescent="0.25">
      <c r="B32" s="657" t="s">
        <v>469</v>
      </c>
      <c r="C32" s="658"/>
      <c r="D32" s="292"/>
      <c r="E32" s="295">
        <v>440</v>
      </c>
      <c r="F32" s="289" t="s">
        <v>444</v>
      </c>
      <c r="G32" s="289"/>
      <c r="H32" s="289"/>
      <c r="I32" s="289"/>
      <c r="J32" s="289"/>
    </row>
    <row r="33" spans="2:10" ht="15.75" x14ac:dyDescent="0.25">
      <c r="B33" s="657" t="s">
        <v>467</v>
      </c>
      <c r="C33" s="658"/>
      <c r="D33" s="292"/>
      <c r="E33" s="289">
        <f>0.5*D10/D9*((1-SQRT(1-4.6*E23*1000000/(D10*1000*E30*E30)))*E30*1000)</f>
        <v>296.10580335914528</v>
      </c>
      <c r="F33" s="289" t="s">
        <v>448</v>
      </c>
      <c r="G33" s="289" t="s">
        <v>468</v>
      </c>
      <c r="H33" s="289"/>
      <c r="I33" s="289"/>
      <c r="J33" s="289"/>
    </row>
    <row r="34" spans="2:10" ht="15.75" x14ac:dyDescent="0.25">
      <c r="B34" s="657" t="s">
        <v>467</v>
      </c>
      <c r="C34" s="658"/>
      <c r="D34" s="292"/>
      <c r="E34" s="289">
        <f>E27*1000*E30/100</f>
        <v>3840</v>
      </c>
      <c r="F34" s="289" t="s">
        <v>448</v>
      </c>
      <c r="G34" s="289" t="s">
        <v>466</v>
      </c>
      <c r="H34" s="289"/>
      <c r="I34" s="289"/>
      <c r="J34" s="289"/>
    </row>
    <row r="35" spans="2:10" ht="15.75" x14ac:dyDescent="0.25">
      <c r="B35" s="657" t="s">
        <v>465</v>
      </c>
      <c r="C35" s="658"/>
      <c r="D35" s="292"/>
      <c r="E35" s="293">
        <v>20</v>
      </c>
      <c r="F35" s="289" t="s">
        <v>444</v>
      </c>
      <c r="G35" s="289"/>
      <c r="H35" s="289"/>
      <c r="I35" s="289"/>
      <c r="J35" s="289"/>
    </row>
    <row r="36" spans="2:10" ht="15.75" x14ac:dyDescent="0.25">
      <c r="B36" s="657" t="s">
        <v>464</v>
      </c>
      <c r="C36" s="658"/>
      <c r="D36" s="292"/>
      <c r="E36" s="289">
        <f>3.14*E35*E35*1000/(4*E34)*1.5</f>
        <v>122.65625</v>
      </c>
      <c r="F36" s="289" t="s">
        <v>444</v>
      </c>
      <c r="G36" s="295">
        <v>90</v>
      </c>
      <c r="H36" s="289" t="s">
        <v>444</v>
      </c>
      <c r="I36" s="289"/>
      <c r="J36" s="289"/>
    </row>
    <row r="37" spans="2:10" ht="15.75" x14ac:dyDescent="0.25">
      <c r="B37" s="657"/>
      <c r="C37" s="658"/>
      <c r="D37" s="289"/>
      <c r="E37" s="289"/>
      <c r="F37" s="289"/>
      <c r="G37" s="291"/>
      <c r="H37" s="289"/>
      <c r="I37" s="289"/>
      <c r="J37" s="289"/>
    </row>
    <row r="38" spans="2:10" ht="15.75" x14ac:dyDescent="0.25">
      <c r="B38" s="593" t="s">
        <v>463</v>
      </c>
      <c r="C38" s="593"/>
      <c r="D38" s="289"/>
      <c r="E38" s="289"/>
      <c r="F38" s="289"/>
      <c r="G38" s="291"/>
      <c r="H38" s="289"/>
      <c r="I38" s="289"/>
      <c r="J38" s="289"/>
    </row>
    <row r="39" spans="2:10" ht="15.75" x14ac:dyDescent="0.25">
      <c r="B39" s="657"/>
      <c r="C39" s="658"/>
      <c r="D39" s="289"/>
      <c r="E39" s="289"/>
      <c r="F39" s="289"/>
      <c r="G39" s="291"/>
      <c r="H39" s="289"/>
      <c r="I39" s="289"/>
      <c r="J39" s="289"/>
    </row>
    <row r="40" spans="2:10" ht="15.75" x14ac:dyDescent="0.25">
      <c r="B40" s="657" t="s">
        <v>462</v>
      </c>
      <c r="C40" s="658"/>
      <c r="D40" s="289"/>
      <c r="E40" s="289"/>
      <c r="F40" s="290">
        <f>E16*E22*0.5</f>
        <v>134.58108108108109</v>
      </c>
      <c r="G40" s="291" t="s">
        <v>461</v>
      </c>
      <c r="H40" s="289"/>
      <c r="I40" s="289"/>
      <c r="J40" s="289"/>
    </row>
    <row r="41" spans="2:10" ht="15.75" x14ac:dyDescent="0.25">
      <c r="B41" s="657" t="s">
        <v>460</v>
      </c>
      <c r="C41" s="658"/>
      <c r="D41" s="289"/>
      <c r="E41" s="289"/>
      <c r="F41" s="289">
        <f>F40*D11*D11/20</f>
        <v>79.120493458783784</v>
      </c>
      <c r="G41" s="291" t="s">
        <v>457</v>
      </c>
      <c r="H41" s="289"/>
      <c r="I41" s="289"/>
      <c r="J41" s="289"/>
    </row>
    <row r="42" spans="2:10" ht="15.75" x14ac:dyDescent="0.25">
      <c r="B42" s="657" t="s">
        <v>459</v>
      </c>
      <c r="C42" s="658"/>
      <c r="D42" s="289"/>
      <c r="E42" s="289"/>
      <c r="F42" s="289">
        <f>F40*D11*D11/24</f>
        <v>65.933744548986482</v>
      </c>
      <c r="G42" s="291" t="s">
        <v>457</v>
      </c>
      <c r="H42" s="289"/>
      <c r="I42" s="289"/>
      <c r="J42" s="289"/>
    </row>
    <row r="43" spans="2:10" ht="15.75" x14ac:dyDescent="0.25">
      <c r="B43" s="664" t="s">
        <v>458</v>
      </c>
      <c r="C43" s="664"/>
      <c r="D43" s="289"/>
      <c r="E43" s="289"/>
      <c r="F43" s="289">
        <f>F41</f>
        <v>79.120493458783784</v>
      </c>
      <c r="G43" s="291" t="s">
        <v>457</v>
      </c>
      <c r="H43" s="289"/>
      <c r="I43" s="289"/>
      <c r="J43" s="289"/>
    </row>
    <row r="44" spans="2:10" ht="15.75" x14ac:dyDescent="0.25">
      <c r="B44" s="657" t="s">
        <v>456</v>
      </c>
      <c r="C44" s="658"/>
      <c r="D44" s="289"/>
      <c r="E44" s="289"/>
      <c r="F44" s="289">
        <f>SQRT(F43*1000000/(0.138*D10*E5))</f>
        <v>283.92855776935932</v>
      </c>
      <c r="G44" s="291" t="s">
        <v>444</v>
      </c>
      <c r="H44" s="289" t="s">
        <v>455</v>
      </c>
      <c r="I44" s="291">
        <f>F44*1.05</f>
        <v>298.12498565782727</v>
      </c>
      <c r="J44" s="289" t="s">
        <v>444</v>
      </c>
    </row>
    <row r="45" spans="2:10" ht="15.75" x14ac:dyDescent="0.25">
      <c r="B45" s="664" t="s">
        <v>454</v>
      </c>
      <c r="C45" s="664"/>
      <c r="D45" s="289"/>
      <c r="E45" s="289"/>
      <c r="F45" s="289">
        <v>40</v>
      </c>
      <c r="G45" s="291" t="s">
        <v>444</v>
      </c>
      <c r="H45" s="289" t="s">
        <v>22</v>
      </c>
      <c r="I45" s="289">
        <f>F45</f>
        <v>40</v>
      </c>
      <c r="J45" s="289" t="s">
        <v>444</v>
      </c>
    </row>
    <row r="46" spans="2:10" ht="15.75" x14ac:dyDescent="0.25">
      <c r="B46" s="657" t="s">
        <v>453</v>
      </c>
      <c r="C46" s="658"/>
      <c r="D46" s="289"/>
      <c r="E46" s="289"/>
      <c r="F46" s="291">
        <f>I44+F45</f>
        <v>338.12498565782727</v>
      </c>
      <c r="G46" s="291" t="s">
        <v>444</v>
      </c>
      <c r="H46" s="289" t="s">
        <v>144</v>
      </c>
      <c r="I46" s="291">
        <f>F46</f>
        <v>338.12498565782727</v>
      </c>
      <c r="J46" s="289" t="s">
        <v>444</v>
      </c>
    </row>
    <row r="47" spans="2:10" ht="15.75" x14ac:dyDescent="0.25">
      <c r="B47" s="657" t="s">
        <v>452</v>
      </c>
      <c r="C47" s="658"/>
      <c r="D47" s="289"/>
      <c r="E47" s="289"/>
      <c r="F47" s="289">
        <f>F43*1000000/(0.87*0.48*I44*D9)</f>
        <v>1271.0426317920287</v>
      </c>
      <c r="G47" s="291" t="s">
        <v>448</v>
      </c>
      <c r="H47" s="289"/>
      <c r="I47" s="289"/>
      <c r="J47" s="289"/>
    </row>
    <row r="48" spans="2:10" ht="15.75" x14ac:dyDescent="0.25">
      <c r="B48" s="657" t="s">
        <v>451</v>
      </c>
      <c r="C48" s="658"/>
      <c r="D48" s="289"/>
      <c r="E48" s="289"/>
      <c r="F48" s="293">
        <v>20</v>
      </c>
      <c r="G48" s="291" t="s">
        <v>444</v>
      </c>
      <c r="H48" s="289"/>
      <c r="I48" s="289"/>
      <c r="J48" s="289"/>
    </row>
    <row r="49" spans="2:10" ht="15.75" x14ac:dyDescent="0.25">
      <c r="B49" s="657" t="s">
        <v>450</v>
      </c>
      <c r="C49" s="658"/>
      <c r="D49" s="296"/>
      <c r="E49" s="296"/>
      <c r="F49" s="296">
        <f>F47*4/(3.14*F48*F48)</f>
        <v>4.047906470675251</v>
      </c>
      <c r="G49" s="297" t="s">
        <v>449</v>
      </c>
      <c r="H49" s="297">
        <v>5</v>
      </c>
      <c r="I49" s="296" t="s">
        <v>449</v>
      </c>
      <c r="J49" s="296"/>
    </row>
    <row r="50" spans="2:10" ht="15.75" customHeight="1" x14ac:dyDescent="0.2">
      <c r="B50" s="666" t="s">
        <v>509</v>
      </c>
      <c r="C50" s="666"/>
      <c r="D50" s="666"/>
      <c r="E50" s="666"/>
      <c r="F50" s="666"/>
      <c r="G50" s="666"/>
      <c r="H50" s="666"/>
      <c r="I50" s="666"/>
      <c r="J50" s="666"/>
    </row>
    <row r="51" spans="2:10" ht="15.75" customHeight="1" x14ac:dyDescent="0.2">
      <c r="B51" s="666"/>
      <c r="C51" s="666"/>
      <c r="D51" s="666"/>
      <c r="E51" s="666"/>
      <c r="F51" s="666"/>
      <c r="G51" s="666"/>
      <c r="H51" s="666"/>
      <c r="I51" s="666"/>
      <c r="J51" s="666"/>
    </row>
    <row r="52" spans="2:10" ht="15.75" x14ac:dyDescent="0.25">
      <c r="B52" s="300"/>
      <c r="C52" s="300"/>
      <c r="D52" s="298"/>
      <c r="E52" s="298"/>
      <c r="F52" s="298"/>
      <c r="G52" s="299"/>
      <c r="H52" s="298"/>
      <c r="I52" s="298"/>
      <c r="J52" s="298"/>
    </row>
    <row r="58" spans="2:10" x14ac:dyDescent="0.2">
      <c r="B58" s="597">
        <f>E16</f>
        <v>1.8</v>
      </c>
    </row>
    <row r="61" spans="2:10" x14ac:dyDescent="0.2">
      <c r="F61" s="596">
        <f>D11</f>
        <v>3.4289999999999998</v>
      </c>
    </row>
    <row r="62" spans="2:10" ht="15.75" x14ac:dyDescent="0.25">
      <c r="B62" s="298"/>
      <c r="C62" s="298"/>
      <c r="D62" s="298"/>
      <c r="E62" s="298"/>
      <c r="F62" s="298"/>
      <c r="G62" s="298"/>
      <c r="H62" s="298"/>
      <c r="I62" s="298"/>
      <c r="J62" s="298"/>
    </row>
    <row r="63" spans="2:10" ht="15.75" x14ac:dyDescent="0.25">
      <c r="B63" s="298"/>
      <c r="C63" s="298"/>
      <c r="D63" s="298"/>
      <c r="E63" s="298"/>
      <c r="F63" s="298"/>
      <c r="G63" s="298"/>
      <c r="H63" s="298"/>
      <c r="I63" s="298"/>
      <c r="J63" s="298"/>
    </row>
    <row r="64" spans="2:10" ht="15.75" x14ac:dyDescent="0.25">
      <c r="B64" s="301"/>
      <c r="C64" s="298"/>
      <c r="D64" s="298"/>
      <c r="E64" s="298"/>
      <c r="F64" s="298"/>
      <c r="G64" s="298"/>
      <c r="H64" s="298"/>
      <c r="I64" s="595">
        <f>I18</f>
        <v>1.8</v>
      </c>
      <c r="J64" s="298"/>
    </row>
    <row r="65" spans="2:10" ht="15.75" x14ac:dyDescent="0.25">
      <c r="B65" s="596">
        <f>I19</f>
        <v>1.9</v>
      </c>
      <c r="C65" s="298"/>
      <c r="D65" s="298"/>
      <c r="E65" s="298"/>
      <c r="F65" s="298"/>
      <c r="G65" s="298"/>
      <c r="H65" s="298"/>
      <c r="I65" s="298"/>
      <c r="J65" s="298"/>
    </row>
    <row r="66" spans="2:10" ht="15.75" x14ac:dyDescent="0.25">
      <c r="B66" s="594"/>
      <c r="C66" s="298"/>
      <c r="D66" s="298"/>
      <c r="E66" s="298"/>
      <c r="F66" s="298"/>
      <c r="G66" s="298"/>
      <c r="H66" s="298"/>
      <c r="I66" s="298"/>
      <c r="J66" s="298"/>
    </row>
    <row r="67" spans="2:10" ht="15.75" x14ac:dyDescent="0.25">
      <c r="C67" s="298"/>
      <c r="D67" s="298"/>
      <c r="E67" s="298"/>
      <c r="F67" s="298"/>
      <c r="G67" s="298"/>
      <c r="H67" s="298"/>
      <c r="I67" s="298"/>
      <c r="J67" s="298"/>
    </row>
    <row r="68" spans="2:10" ht="15.75" x14ac:dyDescent="0.25">
      <c r="B68" s="301"/>
      <c r="C68" s="298"/>
      <c r="D68" s="298"/>
      <c r="E68" s="298"/>
      <c r="F68" s="298"/>
      <c r="G68" s="298"/>
      <c r="H68" s="298"/>
      <c r="I68" s="298"/>
      <c r="J68" s="298"/>
    </row>
    <row r="69" spans="2:10" ht="15.75" x14ac:dyDescent="0.25">
      <c r="B69" s="301"/>
      <c r="C69" s="298"/>
      <c r="D69" s="298"/>
      <c r="E69" s="298"/>
      <c r="F69" s="298"/>
      <c r="G69" s="298"/>
      <c r="H69" s="298"/>
      <c r="I69" s="298"/>
      <c r="J69" s="298"/>
    </row>
    <row r="70" spans="2:10" ht="15.75" x14ac:dyDescent="0.25">
      <c r="B70" s="301"/>
      <c r="C70" s="298"/>
      <c r="D70" s="659"/>
      <c r="E70" s="660"/>
      <c r="F70" s="298"/>
      <c r="G70" s="298"/>
      <c r="H70" s="298"/>
      <c r="I70" s="298"/>
      <c r="J70" s="298"/>
    </row>
    <row r="71" spans="2:10" ht="15.75" x14ac:dyDescent="0.25">
      <c r="E71" s="298"/>
      <c r="F71" s="298"/>
      <c r="G71" s="298"/>
      <c r="I71" s="298"/>
      <c r="J71" s="298"/>
    </row>
    <row r="72" spans="2:10" ht="15.75" x14ac:dyDescent="0.25">
      <c r="B72" s="298"/>
      <c r="C72" s="661"/>
      <c r="D72" s="662"/>
      <c r="E72" s="298"/>
      <c r="F72" s="298"/>
      <c r="G72" s="298"/>
      <c r="H72" s="298"/>
      <c r="I72" s="298"/>
      <c r="J72" s="298"/>
    </row>
  </sheetData>
  <mergeCells count="47">
    <mergeCell ref="B2:J3"/>
    <mergeCell ref="B50:J51"/>
    <mergeCell ref="B18:D18"/>
    <mergeCell ref="B19:D19"/>
    <mergeCell ref="B15:D15"/>
    <mergeCell ref="B14:D14"/>
    <mergeCell ref="B12:C12"/>
    <mergeCell ref="B16:D16"/>
    <mergeCell ref="B17:D17"/>
    <mergeCell ref="B5:C5"/>
    <mergeCell ref="B6:C6"/>
    <mergeCell ref="B7:C7"/>
    <mergeCell ref="B8:C8"/>
    <mergeCell ref="B9:C9"/>
    <mergeCell ref="B10:C10"/>
    <mergeCell ref="B11:C11"/>
    <mergeCell ref="D70:E70"/>
    <mergeCell ref="C72:D72"/>
    <mergeCell ref="B27:D27"/>
    <mergeCell ref="B28:D28"/>
    <mergeCell ref="B31:C31"/>
    <mergeCell ref="B33:C33"/>
    <mergeCell ref="B34:C34"/>
    <mergeCell ref="B43:C43"/>
    <mergeCell ref="B45:C45"/>
    <mergeCell ref="B35:C35"/>
    <mergeCell ref="B36:C36"/>
    <mergeCell ref="B37:C37"/>
    <mergeCell ref="B39:C39"/>
    <mergeCell ref="B44:C44"/>
    <mergeCell ref="B40:C40"/>
    <mergeCell ref="B49:C49"/>
    <mergeCell ref="B13:C13"/>
    <mergeCell ref="B20:C20"/>
    <mergeCell ref="B22:C22"/>
    <mergeCell ref="B23:C23"/>
    <mergeCell ref="B24:C24"/>
    <mergeCell ref="B25:C25"/>
    <mergeCell ref="B26:C26"/>
    <mergeCell ref="B29:C29"/>
    <mergeCell ref="B30:C30"/>
    <mergeCell ref="B32:C32"/>
    <mergeCell ref="B41:C41"/>
    <mergeCell ref="B42:C42"/>
    <mergeCell ref="B46:C46"/>
    <mergeCell ref="B47:C47"/>
    <mergeCell ref="B48:C48"/>
  </mergeCells>
  <pageMargins left="0.7" right="0.7" top="0.75" bottom="0.75" header="0.3" footer="0.3"/>
  <pageSetup paperSize="9" scale="71" fitToWidth="0" orientation="portrait" r:id="rId1"/>
  <rowBreaks count="1" manualBreakCount="1">
    <brk id="36" min="1" max="10" man="1"/>
  </rowBreaks>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4CD279-854D-4F5F-AD0F-C4715203AA6B}">
  <sheetPr codeName="Sheet10">
    <pageSetUpPr fitToPage="1"/>
  </sheetPr>
  <dimension ref="B2:J51"/>
  <sheetViews>
    <sheetView tabSelected="1" view="pageBreakPreview" zoomScale="85" zoomScaleNormal="85" zoomScaleSheetLayoutView="85" workbookViewId="0">
      <selection activeCell="H5" sqref="H5"/>
    </sheetView>
  </sheetViews>
  <sheetFormatPr defaultRowHeight="15" x14ac:dyDescent="0.25"/>
  <cols>
    <col min="1" max="1" width="9.140625" style="517"/>
    <col min="2" max="2" width="24.85546875" style="517" customWidth="1"/>
    <col min="3" max="3" width="11.85546875" style="517" bestFit="1" customWidth="1"/>
    <col min="4" max="4" width="16.5703125" style="517" customWidth="1"/>
    <col min="5" max="5" width="19.28515625" style="517" customWidth="1"/>
    <col min="6" max="6" width="28.85546875" style="517" bestFit="1" customWidth="1"/>
    <col min="7" max="7" width="23.5703125" style="517" customWidth="1"/>
    <col min="8" max="8" width="19.140625" style="517" bestFit="1" customWidth="1"/>
    <col min="9" max="16384" width="9.140625" style="517"/>
  </cols>
  <sheetData>
    <row r="2" spans="2:8" ht="25.5" x14ac:dyDescent="0.35">
      <c r="B2" s="590" t="s">
        <v>501</v>
      </c>
      <c r="C2" s="527"/>
      <c r="D2" s="527"/>
      <c r="E2" s="589"/>
      <c r="F2" s="527"/>
      <c r="G2" s="527"/>
    </row>
    <row r="4" spans="2:8" x14ac:dyDescent="0.25">
      <c r="B4" s="526" t="s">
        <v>527</v>
      </c>
    </row>
    <row r="5" spans="2:8" s="525" customFormat="1" ht="14.25" x14ac:dyDescent="0.2">
      <c r="B5" s="546" t="s">
        <v>634</v>
      </c>
      <c r="C5" s="546" t="s">
        <v>669</v>
      </c>
      <c r="D5" s="546" t="s">
        <v>670</v>
      </c>
      <c r="E5" s="546" t="s">
        <v>671</v>
      </c>
      <c r="F5" s="546" t="s">
        <v>672</v>
      </c>
      <c r="G5" s="546" t="s">
        <v>673</v>
      </c>
      <c r="H5" s="526"/>
    </row>
    <row r="6" spans="2:8" x14ac:dyDescent="0.25">
      <c r="B6" s="528" t="s">
        <v>674</v>
      </c>
      <c r="C6" s="528" t="s">
        <v>635</v>
      </c>
      <c r="D6" s="528" t="s">
        <v>655</v>
      </c>
      <c r="E6" s="528" t="s">
        <v>636</v>
      </c>
      <c r="F6" s="529" t="s">
        <v>656</v>
      </c>
      <c r="G6" s="528" t="s">
        <v>656</v>
      </c>
      <c r="H6" s="516"/>
    </row>
    <row r="7" spans="2:8" x14ac:dyDescent="0.25">
      <c r="B7" s="547" t="s">
        <v>660</v>
      </c>
      <c r="C7" s="548"/>
      <c r="D7" s="548"/>
      <c r="E7" s="548"/>
      <c r="F7" s="548"/>
      <c r="G7" s="548"/>
      <c r="H7" s="520"/>
    </row>
    <row r="8" spans="2:8" x14ac:dyDescent="0.25">
      <c r="B8" s="519"/>
      <c r="C8" s="520"/>
      <c r="D8" s="520"/>
      <c r="E8" s="520"/>
      <c r="F8" s="520"/>
      <c r="G8" s="520"/>
      <c r="H8" s="520"/>
    </row>
    <row r="10" spans="2:8" x14ac:dyDescent="0.25">
      <c r="B10" s="526" t="s">
        <v>565</v>
      </c>
    </row>
    <row r="11" spans="2:8" s="525" customFormat="1" ht="14.25" x14ac:dyDescent="0.2">
      <c r="B11" s="671" t="s">
        <v>637</v>
      </c>
      <c r="C11" s="671" t="s">
        <v>638</v>
      </c>
      <c r="D11" s="671" t="s">
        <v>639</v>
      </c>
      <c r="E11" s="671" t="s">
        <v>640</v>
      </c>
      <c r="F11" s="671"/>
      <c r="G11" s="671" t="s">
        <v>641</v>
      </c>
      <c r="H11" s="671"/>
    </row>
    <row r="12" spans="2:8" s="525" customFormat="1" ht="14.25" x14ac:dyDescent="0.2">
      <c r="B12" s="671"/>
      <c r="C12" s="671"/>
      <c r="D12" s="671"/>
      <c r="E12" s="546" t="s">
        <v>642</v>
      </c>
      <c r="F12" s="546" t="s">
        <v>643</v>
      </c>
      <c r="G12" s="546" t="s">
        <v>642</v>
      </c>
      <c r="H12" s="546" t="s">
        <v>643</v>
      </c>
    </row>
    <row r="13" spans="2:8" ht="18.75" customHeight="1" x14ac:dyDescent="0.25">
      <c r="B13" s="529" t="s">
        <v>644</v>
      </c>
      <c r="C13" s="529" t="s">
        <v>645</v>
      </c>
      <c r="D13" s="529" t="s">
        <v>646</v>
      </c>
      <c r="E13" s="529" t="s">
        <v>647</v>
      </c>
      <c r="F13" s="529" t="s">
        <v>676</v>
      </c>
      <c r="G13" s="529" t="s">
        <v>602</v>
      </c>
      <c r="H13" s="529" t="s">
        <v>602</v>
      </c>
    </row>
    <row r="14" spans="2:8" x14ac:dyDescent="0.25">
      <c r="B14" s="529" t="s">
        <v>668</v>
      </c>
      <c r="C14" s="529" t="s">
        <v>648</v>
      </c>
      <c r="D14" s="529" t="s">
        <v>649</v>
      </c>
      <c r="E14" s="529" t="s">
        <v>647</v>
      </c>
      <c r="F14" s="529" t="s">
        <v>647</v>
      </c>
      <c r="G14" s="529" t="s">
        <v>602</v>
      </c>
      <c r="H14" s="529" t="s">
        <v>602</v>
      </c>
    </row>
    <row r="15" spans="2:8" x14ac:dyDescent="0.25">
      <c r="B15" s="547" t="s">
        <v>661</v>
      </c>
      <c r="C15" s="548"/>
      <c r="D15" s="548"/>
      <c r="E15" s="548"/>
      <c r="F15" s="548"/>
      <c r="G15" s="548"/>
      <c r="H15" s="548"/>
    </row>
    <row r="16" spans="2:8" x14ac:dyDescent="0.25">
      <c r="B16" s="521"/>
    </row>
    <row r="17" spans="2:7" x14ac:dyDescent="0.25">
      <c r="B17" s="526" t="s">
        <v>49</v>
      </c>
    </row>
    <row r="18" spans="2:7" s="525" customFormat="1" ht="14.25" x14ac:dyDescent="0.2">
      <c r="B18" s="546" t="s">
        <v>650</v>
      </c>
      <c r="C18" s="546" t="s">
        <v>185</v>
      </c>
      <c r="D18" s="546" t="s">
        <v>651</v>
      </c>
      <c r="E18" s="546" t="s">
        <v>652</v>
      </c>
    </row>
    <row r="19" spans="2:7" x14ac:dyDescent="0.25">
      <c r="B19" s="675" t="s">
        <v>653</v>
      </c>
      <c r="C19" s="675" t="s">
        <v>654</v>
      </c>
      <c r="D19" s="530">
        <f>'Slab Design'!D47</f>
        <v>8</v>
      </c>
      <c r="E19" s="530">
        <f>'Slab Design'!G47</f>
        <v>8</v>
      </c>
    </row>
    <row r="20" spans="2:7" x14ac:dyDescent="0.25">
      <c r="B20" s="676"/>
      <c r="C20" s="676"/>
      <c r="D20" s="531">
        <f>'Slab Design'!E47</f>
        <v>125</v>
      </c>
      <c r="E20" s="531">
        <f>'Slab Design'!H47</f>
        <v>125</v>
      </c>
    </row>
    <row r="23" spans="2:7" x14ac:dyDescent="0.25">
      <c r="B23" s="526" t="s">
        <v>72</v>
      </c>
    </row>
    <row r="24" spans="2:7" s="525" customFormat="1" ht="14.25" x14ac:dyDescent="0.2">
      <c r="B24" s="546" t="s">
        <v>650</v>
      </c>
      <c r="C24" s="546" t="s">
        <v>185</v>
      </c>
      <c r="D24" s="546" t="s">
        <v>659</v>
      </c>
      <c r="E24" s="546" t="s">
        <v>651</v>
      </c>
      <c r="F24" s="546" t="s">
        <v>652</v>
      </c>
    </row>
    <row r="25" spans="2:7" x14ac:dyDescent="0.25">
      <c r="B25" s="675" t="s">
        <v>653</v>
      </c>
      <c r="C25" s="529" t="s">
        <v>657</v>
      </c>
      <c r="D25" s="529">
        <f>'Staircase Design'!D9</f>
        <v>150</v>
      </c>
      <c r="E25" s="530">
        <f>'Staircase Design'!D42</f>
        <v>12</v>
      </c>
      <c r="F25" s="530">
        <f>'Staircase Design'!D52</f>
        <v>8</v>
      </c>
    </row>
    <row r="26" spans="2:7" s="518" customFormat="1" ht="16.5" customHeight="1" x14ac:dyDescent="0.2">
      <c r="B26" s="675"/>
      <c r="C26" s="529" t="s">
        <v>658</v>
      </c>
      <c r="D26" s="529">
        <f>5*2.54*10</f>
        <v>127</v>
      </c>
      <c r="E26" s="532">
        <f>'Staircase Design'!E42</f>
        <v>150</v>
      </c>
      <c r="F26" s="532">
        <f>'Staircase Design'!E52</f>
        <v>150</v>
      </c>
    </row>
    <row r="27" spans="2:7" x14ac:dyDescent="0.25">
      <c r="B27" s="547" t="s">
        <v>663</v>
      </c>
      <c r="C27" s="548"/>
      <c r="D27" s="548"/>
      <c r="E27" s="548"/>
      <c r="F27" s="548"/>
    </row>
    <row r="28" spans="2:7" x14ac:dyDescent="0.25">
      <c r="B28" s="519"/>
      <c r="C28" s="520"/>
      <c r="D28" s="520"/>
      <c r="E28" s="520"/>
      <c r="F28" s="520"/>
    </row>
    <row r="29" spans="2:7" x14ac:dyDescent="0.25">
      <c r="B29" s="519"/>
      <c r="C29" s="520"/>
      <c r="D29" s="520"/>
      <c r="E29" s="520"/>
      <c r="F29" s="520"/>
    </row>
    <row r="30" spans="2:7" x14ac:dyDescent="0.25">
      <c r="B30" s="526" t="s">
        <v>224</v>
      </c>
      <c r="G30" s="523"/>
    </row>
    <row r="31" spans="2:7" s="525" customFormat="1" ht="14.25" x14ac:dyDescent="0.2">
      <c r="B31" s="545" t="s">
        <v>662</v>
      </c>
      <c r="C31" s="545" t="s">
        <v>339</v>
      </c>
      <c r="D31" s="674" t="s">
        <v>665</v>
      </c>
      <c r="E31" s="674"/>
      <c r="F31" s="545" t="str">
        <f>'Isolatedfooting Design'!C58</f>
        <v>Ast across x direction</v>
      </c>
      <c r="G31" s="546" t="str">
        <f>'Isolatedfooting Design'!C59</f>
        <v>Ast across y direction</v>
      </c>
    </row>
    <row r="32" spans="2:7" x14ac:dyDescent="0.25">
      <c r="B32" s="669" t="s">
        <v>648</v>
      </c>
      <c r="C32" s="669" t="s">
        <v>664</v>
      </c>
      <c r="D32" s="529" t="s">
        <v>666</v>
      </c>
      <c r="E32" s="529">
        <f>'Isolatedfooting Design'!E21</f>
        <v>1.6</v>
      </c>
      <c r="F32" s="673">
        <f>'Isolatedfooting Design'!D58</f>
        <v>16</v>
      </c>
      <c r="G32" s="673">
        <f>'Isolatedfooting Design'!D59</f>
        <v>16</v>
      </c>
    </row>
    <row r="33" spans="2:10" x14ac:dyDescent="0.25">
      <c r="B33" s="669"/>
      <c r="C33" s="669"/>
      <c r="D33" s="529" t="s">
        <v>667</v>
      </c>
      <c r="E33" s="529">
        <f>'Isolatedfooting Design'!E22</f>
        <v>1.6</v>
      </c>
      <c r="F33" s="673"/>
      <c r="G33" s="673"/>
    </row>
    <row r="34" spans="2:10" x14ac:dyDescent="0.25">
      <c r="B34" s="670"/>
      <c r="C34" s="670"/>
      <c r="D34" s="533" t="s">
        <v>659</v>
      </c>
      <c r="E34" s="533">
        <f>'Isolatedfooting Design'!E46</f>
        <v>400</v>
      </c>
      <c r="F34" s="531">
        <f>'Isolatedfooting Design'!E58</f>
        <v>125</v>
      </c>
      <c r="G34" s="531">
        <f>'Isolatedfooting Design'!E59</f>
        <v>125</v>
      </c>
    </row>
    <row r="35" spans="2:10" x14ac:dyDescent="0.25">
      <c r="B35" s="518"/>
      <c r="C35" s="518"/>
      <c r="D35" s="518"/>
      <c r="E35" s="518"/>
      <c r="F35" s="522"/>
      <c r="G35" s="522"/>
    </row>
    <row r="37" spans="2:10" x14ac:dyDescent="0.25">
      <c r="B37" s="526" t="s">
        <v>675</v>
      </c>
    </row>
    <row r="38" spans="2:10" x14ac:dyDescent="0.25">
      <c r="B38" s="542" t="s">
        <v>502</v>
      </c>
      <c r="C38" s="543" t="s">
        <v>505</v>
      </c>
      <c r="D38" s="543" t="s">
        <v>445</v>
      </c>
      <c r="E38" s="543" t="s">
        <v>441</v>
      </c>
      <c r="F38" s="544"/>
      <c r="G38" s="543" t="s">
        <v>510</v>
      </c>
      <c r="H38" s="591" t="s">
        <v>511</v>
      </c>
    </row>
    <row r="39" spans="2:10" x14ac:dyDescent="0.25">
      <c r="B39" s="534" t="s">
        <v>503</v>
      </c>
      <c r="C39" s="535">
        <f>'Eccentric Footing'!I19</f>
        <v>1.9</v>
      </c>
      <c r="D39" s="536">
        <f>'Eccentric Footing'!E16</f>
        <v>1.8</v>
      </c>
      <c r="E39" s="536">
        <f>'Eccentric Footing'!E32/1000</f>
        <v>0.44</v>
      </c>
      <c r="F39" s="537" t="s">
        <v>506</v>
      </c>
      <c r="G39" s="536">
        <f>'Eccentric Footing'!E35</f>
        <v>20</v>
      </c>
      <c r="H39" s="537">
        <f>'Eccentric Footing'!G36</f>
        <v>90</v>
      </c>
    </row>
    <row r="40" spans="2:10" x14ac:dyDescent="0.25">
      <c r="B40" s="534" t="s">
        <v>504</v>
      </c>
      <c r="C40" s="538">
        <f>'Eccentric Footing'!I18</f>
        <v>1.8</v>
      </c>
      <c r="D40" s="536">
        <f>'Eccentric Footing'!E16</f>
        <v>1.8</v>
      </c>
      <c r="E40" s="536">
        <f>'Eccentric Footing'!E32/1000</f>
        <v>0.44</v>
      </c>
      <c r="F40" s="537" t="s">
        <v>507</v>
      </c>
      <c r="G40" s="536">
        <f>'Eccentric Footing'!E35</f>
        <v>20</v>
      </c>
      <c r="H40" s="537">
        <f>'Eccentric Footing'!G36</f>
        <v>90</v>
      </c>
    </row>
    <row r="41" spans="2:10" x14ac:dyDescent="0.25">
      <c r="B41" s="542" t="s">
        <v>508</v>
      </c>
      <c r="C41" s="542"/>
      <c r="D41" s="543"/>
      <c r="E41" s="543"/>
      <c r="F41" s="544"/>
      <c r="G41" s="543" t="s">
        <v>510</v>
      </c>
      <c r="H41" s="591" t="s">
        <v>514</v>
      </c>
    </row>
    <row r="42" spans="2:10" x14ac:dyDescent="0.25">
      <c r="B42" s="534" t="s">
        <v>445</v>
      </c>
      <c r="C42" s="534">
        <f>CEILING('Eccentric Footing'!E5,10)/1000</f>
        <v>0.36</v>
      </c>
      <c r="D42" s="536" t="s">
        <v>443</v>
      </c>
      <c r="E42" s="536"/>
      <c r="F42" s="537" t="s">
        <v>512</v>
      </c>
      <c r="G42" s="536">
        <v>20</v>
      </c>
      <c r="H42" s="536">
        <v>5</v>
      </c>
    </row>
    <row r="43" spans="2:10" x14ac:dyDescent="0.25">
      <c r="B43" s="539" t="s">
        <v>446</v>
      </c>
      <c r="C43" s="539">
        <f>CEILING('Eccentric Footing'!I46+20,50)/1000</f>
        <v>0.4</v>
      </c>
      <c r="D43" s="540" t="s">
        <v>443</v>
      </c>
      <c r="E43" s="540"/>
      <c r="F43" s="541" t="s">
        <v>513</v>
      </c>
      <c r="G43" s="540">
        <v>20</v>
      </c>
      <c r="H43" s="540">
        <v>5</v>
      </c>
    </row>
    <row r="44" spans="2:10" ht="15" customHeight="1" x14ac:dyDescent="0.25">
      <c r="B44" s="672" t="s">
        <v>509</v>
      </c>
      <c r="C44" s="672"/>
      <c r="D44" s="672"/>
      <c r="E44" s="672"/>
      <c r="F44" s="672"/>
      <c r="G44" s="672"/>
      <c r="H44" s="672"/>
      <c r="I44" s="524"/>
      <c r="J44" s="524"/>
    </row>
    <row r="50" spans="2:10" ht="15" customHeight="1" x14ac:dyDescent="0.25">
      <c r="B50" s="300"/>
      <c r="C50" s="300"/>
      <c r="D50" s="300"/>
      <c r="E50" s="300"/>
      <c r="F50" s="300"/>
      <c r="G50" s="300"/>
      <c r="H50" s="300"/>
      <c r="I50" s="300"/>
      <c r="J50" s="300"/>
    </row>
    <row r="51" spans="2:10" ht="15" customHeight="1" x14ac:dyDescent="0.25">
      <c r="B51" s="300"/>
      <c r="C51" s="300"/>
      <c r="D51" s="300"/>
      <c r="E51" s="300"/>
      <c r="F51" s="300"/>
      <c r="G51" s="300"/>
      <c r="H51" s="300"/>
      <c r="I51" s="300"/>
      <c r="J51" s="300"/>
    </row>
  </sheetData>
  <mergeCells count="14">
    <mergeCell ref="B32:B34"/>
    <mergeCell ref="C32:C34"/>
    <mergeCell ref="D11:D12"/>
    <mergeCell ref="B44:H44"/>
    <mergeCell ref="F32:F33"/>
    <mergeCell ref="G32:G33"/>
    <mergeCell ref="D31:E31"/>
    <mergeCell ref="B25:B26"/>
    <mergeCell ref="E11:F11"/>
    <mergeCell ref="G11:H11"/>
    <mergeCell ref="B19:B20"/>
    <mergeCell ref="C19:C20"/>
    <mergeCell ref="B11:B12"/>
    <mergeCell ref="C11:C12"/>
  </mergeCells>
  <pageMargins left="0.7" right="0.7" top="0.75" bottom="0.75" header="0.3" footer="0.3"/>
  <pageSetup scale="56" fitToHeight="0"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9</vt:i4>
      </vt:variant>
    </vt:vector>
  </HeadingPairs>
  <TitlesOfParts>
    <vt:vector size="20" baseType="lpstr">
      <vt:lpstr>~#temp</vt:lpstr>
      <vt:lpstr>Designer Sheet</vt:lpstr>
      <vt:lpstr>Seismic NBC</vt:lpstr>
      <vt:lpstr>Column Design</vt:lpstr>
      <vt:lpstr>Beam Design</vt:lpstr>
      <vt:lpstr>Slab Design</vt:lpstr>
      <vt:lpstr>Staircase Design</vt:lpstr>
      <vt:lpstr>Seismic IS</vt:lpstr>
      <vt:lpstr>Isolatedfooting Design</vt:lpstr>
      <vt:lpstr>Eccentric Footing</vt:lpstr>
      <vt:lpstr>Design Summary</vt:lpstr>
      <vt:lpstr>'Beam Design'!Print_Area</vt:lpstr>
      <vt:lpstr>'Column Design'!Print_Area</vt:lpstr>
      <vt:lpstr>'Design Summary'!Print_Area</vt:lpstr>
      <vt:lpstr>'Eccentric Footing'!Print_Area</vt:lpstr>
      <vt:lpstr>'Isolatedfooting Design'!Print_Area</vt:lpstr>
      <vt:lpstr>'Seismic IS'!Print_Area</vt:lpstr>
      <vt:lpstr>'Seismic NBC'!Print_Area</vt:lpstr>
      <vt:lpstr>'Slab Design'!Print_Area</vt:lpstr>
      <vt:lpstr>'Staircase Design'!Print_Area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sys23</dc:creator>
  <cp:lastModifiedBy>User</cp:lastModifiedBy>
  <cp:lastPrinted>2023-03-05T18:08:56Z</cp:lastPrinted>
  <dcterms:created xsi:type="dcterms:W3CDTF">2008-02-29T06:41:47Z</dcterms:created>
  <dcterms:modified xsi:type="dcterms:W3CDTF">2023-05-14T16:47:18Z</dcterms:modified>
</cp:coreProperties>
</file>